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Summary" sheetId="1" state="visible" r:id="rId2"/>
    <sheet name="Coverage_strict" sheetId="2" state="visible" r:id="rId3"/>
    <sheet name="Coverage_graded" sheetId="3" state="visible" r:id="rId4"/>
    <sheet name="Recoverability_tree" sheetId="4" state="visible" r:id="rId5"/>
    <sheet name="SIF" sheetId="5"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<sst xmlns="http://schemas.openxmlformats.org/spreadsheetml/2006/main" count="121" uniqueCount="105">
  <si>
    <t xml:space="preserve">PROVENANCE - autonomous driving (speed cap): scorecard</t>
  </si>
  <si>
    <t xml:space="preserve">S1 = ground truth (GT_tree (9 policies)). S2 = LangChain unstructured. S3 = LangChain + policy model (structured). Coverage reflects the LLM; recoverability is our framework, by construction over the whole tree.</t>
  </si>
  <si>
    <t xml:space="preserve">COVERAGE  (reflects the LLM; strict scoring)</t>
  </si>
  <si>
    <t xml:space="preserve">Metric</t>
  </si>
  <si>
    <t xml:space="preserve">S1</t>
  </si>
  <si>
    <t xml:space="preserve">S2</t>
  </si>
  <si>
    <t xml:space="preserve">S3</t>
  </si>
  <si>
    <t xml:space="preserve">Recall (steps recovered / 7, strict)</t>
  </si>
  <si>
    <t xml:space="preserve">1.00</t>
  </si>
  <si>
    <t xml:space="preserve">Precision (relevant / emitted)</t>
  </si>
  <si>
    <t xml:space="preserve">0.50</t>
  </si>
  <si>
    <t xml:space="preserve">RECOVERABILITY  (our framework, by construction, whole tree)</t>
  </si>
  <si>
    <t xml:space="preserve">TC - trace coverage</t>
  </si>
  <si>
    <t xml:space="preserve">AC - accountability completeness</t>
  </si>
  <si>
    <t xml:space="preserve">EF - explanation fidelity (explainable by design)</t>
  </si>
  <si>
    <t xml:space="preserve">SIF - semantic intent fidelity</t>
  </si>
  <si>
    <t xml:space="preserve">What the numbers say:</t>
  </si>
  <si>
    <t xml:space="preserve">•  Recoverability is total for structured, zero for unstructured (TC = AC = EF = 1.00 vs 0), over the whole tree. Same result as the code domain: the framework's properties are domain-independent.</t>
  </si>
  <si>
    <t xml:space="preserve">•  An honest inversion: AV recall is higher for unstructured (0.57) than structured (0.43), the reverse of code, because the intent is specific. But the unstructured content is unrecoverable (0 / 0 / 0) while the structured content is fully recoverable. More content with zero accountability versus less content with full accountability.</t>
  </si>
  <si>
    <t xml:space="preserve">•  Both arms miss the lane scope (GT-05): both say 'all roads', neither 'all lanes'. The same within-scope spatial blind spot as code (egress / symlink). Free refinement does not recover it in either domain.</t>
  </si>
  <si>
    <t xml:space="preserve">What changed, and why:</t>
  </si>
  <si>
    <t xml:space="preserve">•  Coverage is now STRICT. AV recall is unchanged (0.57 / 0.43) because the AV runs had almost no partials; the one folded throttle leaf nets the same under strict (decelerate credited, block-acceleration not). Full graded breakdown on the Coverage_graded sheet.</t>
  </si>
  <si>
    <t xml:space="preserve">•  TC/AC/EF are now whole-tree with EF as explainability-by-design, moving S3 from 0.40 / 0.60 / 0.06 (leaves) to 1.00 / 1.00 / 1.00. Expected result of the corrections, not a re-tuned number.</t>
  </si>
  <si>
    <t xml:space="preserve">AV (speed cap). STRICT coverage against the 7-step key. Correctly realizes a step (1) or not (0); no partial credit. Recall = mean.</t>
  </si>
  <si>
    <t xml:space="preserve">GT</t>
  </si>
  <si>
    <t xml:space="preserve">Required step</t>
  </si>
  <si>
    <t xml:space="preserve">S2 note</t>
  </si>
  <si>
    <t xml:space="preserve">S3 note</t>
  </si>
  <si>
    <t xml:space="preserve">GT-01</t>
  </si>
  <si>
    <t xml:space="preserve">determine the posted speed limit</t>
  </si>
  <si>
    <t xml:space="preserve">Treats 30 as the whole cap; never reads a posted limit.</t>
  </si>
  <si>
    <t xml:space="preserve">No posted-limit branch.</t>
  </si>
  <si>
    <t xml:space="preserve">GT-02</t>
  </si>
  <si>
    <t xml:space="preserve">detect fog or rain (trigger)</t>
  </si>
  <si>
    <t xml:space="preserve">Sensor-fusion detection. Correct.</t>
  </si>
  <si>
    <t xml:space="preserve">P2 classify. Correct.</t>
  </si>
  <si>
    <t xml:space="preserve">GT-03</t>
  </si>
  <si>
    <t xml:space="preserve">determine the 30 km/h weather cap</t>
  </si>
  <si>
    <t xml:space="preserve">Hard 30 km/h ceiling. Correct.</t>
  </si>
  <si>
    <t xml:space="preserve">30 km/h cap is the root, compared in P3. Correct.</t>
  </si>
  <si>
    <t xml:space="preserve">GT-04</t>
  </si>
  <si>
    <t xml:space="preserve">compute effective cap (min of posted, weather)</t>
  </si>
  <si>
    <t xml:space="preserve">No synthesis; never reconciles 30 against a posted limit.</t>
  </si>
  <si>
    <t xml:space="preserve">No min-of-two; compares to a flat 30 only.</t>
  </si>
  <si>
    <t xml:space="preserve">GT-05</t>
  </si>
  <si>
    <t xml:space="preserve">scope the cap across all lanes</t>
  </si>
  <si>
    <t xml:space="preserve">States the cap applies but never scopes to lanes.</t>
  </si>
  <si>
    <t xml:space="preserve">Says 'all roads', not 'all lanes'. Road-network scope, not the within-road lane scope.</t>
  </si>
  <si>
    <t xml:space="preserve">GT-06</t>
  </si>
  <si>
    <t xml:space="preserve">decelerate smoothly to the cap</t>
  </si>
  <si>
    <t xml:space="preserve">Explicit smooth, progressive deceleration. Correct.</t>
  </si>
  <si>
    <t xml:space="preserve">P4.1 throttle/brake brings speed to the cap. Decelerates correctly.</t>
  </si>
  <si>
    <t xml:space="preserve">GT-07</t>
  </si>
  <si>
    <t xml:space="preserve">block acceleration above the cap</t>
  </si>
  <si>
    <t xml:space="preserve">Throttle constrained so the vehicle cannot exceed the limit. Correct.</t>
  </si>
  <si>
    <t xml:space="preserve">Folded into the same throttle leaf; no distinct prevent-climb-back rule.</t>
  </si>
  <si>
    <t xml:space="preserve">RECALL (strict)</t>
  </si>
  <si>
    <t xml:space="preserve">COMPANION (not used in the paper). Graded view: each partial step broken into sub-parts, scored by fraction satisfied. The paper uses the strict column. Rationale at the bottom.</t>
  </si>
  <si>
    <t xml:space="preserve">GT (arm)</t>
  </si>
  <si>
    <t xml:space="preserve">Required sub-parts</t>
  </si>
  <si>
    <t xml:space="preserve">Sub-parts met</t>
  </si>
  <si>
    <t xml:space="preserve">Graded</t>
  </si>
  <si>
    <t xml:space="preserve">Strict</t>
  </si>
  <si>
    <t xml:space="preserve">Why graded differs</t>
  </si>
  <si>
    <t xml:space="preserve">GT-06 (S3)</t>
  </si>
  <si>
    <t xml:space="preserve">reduces speed to the cap; reduction is smooth/progressive; distinct decel rule</t>
  </si>
  <si>
    <t xml:space="preserve">2 of 3 (smoothness only in rationale)</t>
  </si>
  <si>
    <t xml:space="preserve">Decelerates; smoothness not a distinct rule. (Strict credits the core decel.)</t>
  </si>
  <si>
    <t xml:space="preserve">GT-07 (S3)</t>
  </si>
  <si>
    <t xml:space="preserve">prevents exceeding the cap; distinct from the decel rule; holds going forward</t>
  </si>
  <si>
    <t xml:space="preserve">1 of 3 (folded into the decel leaf)</t>
  </si>
  <si>
    <t xml:space="preserve">No distinct block-acceleration rule; same throttle leaf.</t>
  </si>
  <si>
    <t xml:space="preserve">Why the paper uses STRICT, not graded:</t>
  </si>
  <si>
    <t xml:space="preserve">At enforcement time a policy is correct or it is not. A folded throttle leaf that should also block acceleration as a distinct rule is not one-third of that rule; it is a different policy that overlaps. Partial credit imports a 'close enough' notion with no meaning when the policy has to actually run, and it is the same soft judgment the unstructured baseline forces and that our structured model exists to eliminate. The graded view is provided so the choice is transparent; if preferred, the numbers regenerate from these sub-part splits.</t>
  </si>
  <si>
    <t xml:space="preserve">Recoverability over the WHOLE tree, not just leaves. TC = traces to/from intent; AC = definer + enforcer; EF = explainable by traversal. Scored on the ground-truth tree (GT_tree, 9 policies), matching the paper's Table 5 (Driving 9/9).</t>
  </si>
  <si>
    <t xml:space="preserve">Level</t>
  </si>
  <si>
    <t xml:space="preserve">Policies (GT)</t>
  </si>
  <si>
    <t xml:space="preserve">TC</t>
  </si>
  <si>
    <t xml:space="preserve">AC</t>
  </si>
  <si>
    <t xml:space="preserve">EF</t>
  </si>
  <si>
    <t xml:space="preserve">Note</t>
  </si>
  <si>
    <t xml:space="preserve">Declarative (root)</t>
  </si>
  <si>
    <t xml:space="preserve">The cap restated; defined by the human operator.</t>
  </si>
  <si>
    <t xml:space="preserve">Definitive (Monitor / Analyze / Plan)</t>
  </si>
  <si>
    <t xml:space="preserve">Determine posted limit, determine weather cap, and enforce effective cap (all lanes). Not leaves.</t>
  </si>
  <si>
    <t xml:space="preserve">Imperative (Monitor / Analyze / Execute)</t>
  </si>
  <si>
    <t xml:space="preserve">read posted limit, monitor weather, compute effective cap, block acceleration, decelerate to cap.</t>
  </si>
  <si>
    <t xml:space="preserve">WHOLE TREE (ground truth)</t>
  </si>
  <si>
    <t xml:space="preserve">1 declarative + 3 definitive + 5 imperative. Matches Table 5 (Driving 9/9) and the code domain methodology (recoverability scored on the ground-truth tree). Holds by construction for the 11-policy S3 output too.</t>
  </si>
  <si>
    <t xml:space="preserve">S2 (unstructured)</t>
  </si>
  <si>
    <t xml:space="preserve">6 (flat prose)</t>
  </si>
  <si>
    <t xml:space="preserve">No levels, no parents, no definers. Nothing recoverable.</t>
  </si>
  <si>
    <t xml:space="preserve">Semantic Intent Fidelity: intent's constraint elements carried through refinement? 1/0.5/0. SIF = mean.</t>
  </si>
  <si>
    <t xml:space="preserve">Intent element</t>
  </si>
  <si>
    <t xml:space="preserve">action - cap/limit speed</t>
  </si>
  <si>
    <t xml:space="preserve">Both carry the capping action to actuation.</t>
  </si>
  <si>
    <t xml:space="preserve">resource - stopping capacity</t>
  </si>
  <si>
    <t xml:space="preserve">S2 prose only; S3 carries the speed/capacity resource on every policy.</t>
  </si>
  <si>
    <t xml:space="preserve">spatial - all lanes</t>
  </si>
  <si>
    <t xml:space="preserve">S2 has no spatial field; S3 carries a spatial value everywhere (scoped 'all roads', a coverage miss, but the element is preserved).</t>
  </si>
  <si>
    <t xml:space="preserve">temporal - always</t>
  </si>
  <si>
    <t xml:space="preserve">S2 carries no temporal field; S3 carries 'always' everywhere.</t>
  </si>
  <si>
    <t xml:space="preserve">context - production</t>
  </si>
  <si>
    <t xml:space="preserve">S2 none; S3 carries the context field but fills it with weather state, not the operating mode.</t>
  </si>
  <si>
    <t xml:space="preserve">SIF</t>
  </si>
</sst>
</file>

<file path=xl/styles.xml><?xml version="1.0" encoding="utf-8"?>
<styleSheet xmlns="http://schemas.openxmlformats.org/spreadsheetml/2006/main">
  <numFmts count="2">
    <numFmt numFmtId="164" formatCode="General"/>
    <numFmt numFmtId="165" formatCode="0.00"/>
  </numFmts>
  <fonts count="8">
    <font>
      <sz val="11"/>
      <color rgb="FF000000"/>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color rgb="FFFFFFFF"/>
      <name val="Arial"/>
      <family val="0"/>
      <charset val="1"/>
    </font>
    <font>
      <b val="true"/>
      <sz val="11"/>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FCE4D6"/>
        <bgColor rgb="FFFFF2CC"/>
      </patternFill>
    </fill>
    <fill>
      <patternFill patternType="solid">
        <fgColor rgb="FFE2EFDA"/>
        <bgColor rgb="FFD9E1F2"/>
      </patternFill>
    </fill>
    <fill>
      <patternFill patternType="solid">
        <fgColor rgb="FFD9E1F2"/>
        <bgColor rgb="FFC9DAF8"/>
      </patternFill>
    </fill>
    <fill>
      <patternFill patternType="solid">
        <fgColor rgb="FFFFF2CC"/>
        <bgColor rgb="FFFCE4D6"/>
      </patternFill>
    </fill>
    <fill>
      <patternFill patternType="solid">
        <fgColor rgb="FFC9DAF8"/>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5" fillId="6"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9E1F2"/>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220" zoomScaleNormal="220" zoomScalePageLayoutView="100" workbookViewId="0">
      <pane xSplit="0" ySplit="4" topLeftCell="A20" activePane="bottomLeft" state="frozen"/>
      <selection pane="topLeft" activeCell="A1" activeCellId="0" sqref="A1"/>
      <selection pane="bottomLeft" activeCell="A23" activeCellId="0" sqref="A23"/>
    </sheetView>
  </sheetViews>
  <sheetFormatPr defaultColWidth="8.6953125" defaultRowHeight="15" zeroHeight="false" outlineLevelRow="0" outlineLevelCol="0"/>
  <cols>
    <col collapsed="false" customWidth="true" hidden="false" outlineLevel="0" max="1" min="1" style="1" width="40"/>
    <col collapsed="false" customWidth="true" hidden="false" outlineLevel="0" max="4" min="2" style="1" width="14.01"/>
  </cols>
  <sheetData>
    <row r="1" customFormat="false" ht="32.25" hidden="false" customHeight="true" outlineLevel="0" collapsed="false">
      <c r="A1" s="2" t="s">
        <v>0</v>
      </c>
      <c r="B1" s="2"/>
      <c r="C1" s="2"/>
      <c r="D1" s="2"/>
    </row>
    <row r="2" customFormat="false" ht="34.5" hidden="false" customHeight="true" outlineLevel="0" collapsed="false">
      <c r="A2" s="3" t="s">
        <v>1</v>
      </c>
      <c r="B2" s="3"/>
      <c r="C2" s="3"/>
      <c r="D2" s="3"/>
    </row>
    <row r="4" customFormat="false" ht="15" hidden="false" customHeight="true" outlineLevel="0" collapsed="false">
      <c r="A4" s="4" t="s">
        <v>2</v>
      </c>
      <c r="B4" s="4"/>
      <c r="C4" s="4"/>
      <c r="D4" s="4"/>
    </row>
    <row r="5" customFormat="false" ht="15" hidden="false" customHeight="true" outlineLevel="0" collapsed="false">
      <c r="A5" s="5" t="s">
        <v>3</v>
      </c>
      <c r="B5" s="5" t="s">
        <v>4</v>
      </c>
      <c r="C5" s="5" t="s">
        <v>5</v>
      </c>
      <c r="D5" s="5" t="s">
        <v>6</v>
      </c>
    </row>
    <row r="6" customFormat="false" ht="15" hidden="false" customHeight="true" outlineLevel="0" collapsed="false">
      <c r="A6" s="6" t="s">
        <v>7</v>
      </c>
      <c r="B6" s="7" t="s">
        <v>8</v>
      </c>
      <c r="C6" s="8" t="n">
        <f aca="false">Coverage_strict!C10</f>
        <v>0.571428571428571</v>
      </c>
      <c r="D6" s="8" t="n">
        <f aca="false">Coverage_strict!E10</f>
        <v>0.428571428571429</v>
      </c>
    </row>
    <row r="7" customFormat="false" ht="15" hidden="false" customHeight="true" outlineLevel="0" collapsed="false">
      <c r="A7" s="6" t="s">
        <v>9</v>
      </c>
      <c r="B7" s="7" t="s">
        <v>8</v>
      </c>
      <c r="C7" s="8" t="s">
        <v>10</v>
      </c>
      <c r="D7" s="8" t="s">
        <v>10</v>
      </c>
    </row>
    <row r="9" customFormat="false" ht="15" hidden="false" customHeight="true" outlineLevel="0" collapsed="false">
      <c r="A9" s="4" t="s">
        <v>11</v>
      </c>
      <c r="B9" s="4"/>
      <c r="C9" s="4"/>
      <c r="D9" s="4"/>
    </row>
    <row r="10" customFormat="false" ht="15" hidden="false" customHeight="true" outlineLevel="0" collapsed="false">
      <c r="A10" s="5" t="s">
        <v>3</v>
      </c>
      <c r="B10" s="5" t="s">
        <v>4</v>
      </c>
      <c r="C10" s="5" t="s">
        <v>5</v>
      </c>
      <c r="D10" s="5" t="s">
        <v>6</v>
      </c>
    </row>
    <row r="11" customFormat="false" ht="15" hidden="false" customHeight="true" outlineLevel="0" collapsed="false">
      <c r="A11" s="6" t="s">
        <v>12</v>
      </c>
      <c r="B11" s="7" t="s">
        <v>8</v>
      </c>
      <c r="C11" s="8" t="n">
        <f aca="false">Recoverability_tree!C7</f>
        <v>0</v>
      </c>
      <c r="D11" s="8" t="n">
        <f aca="false">Recoverability_tree!C6</f>
        <v>1</v>
      </c>
    </row>
    <row r="12" customFormat="false" ht="15" hidden="false" customHeight="true" outlineLevel="0" collapsed="false">
      <c r="A12" s="6" t="s">
        <v>13</v>
      </c>
      <c r="B12" s="7" t="s">
        <v>8</v>
      </c>
      <c r="C12" s="8" t="n">
        <f aca="false">Recoverability_tree!D7</f>
        <v>0</v>
      </c>
      <c r="D12" s="8" t="n">
        <f aca="false">Recoverability_tree!D6</f>
        <v>1</v>
      </c>
    </row>
    <row r="13" customFormat="false" ht="26.25" hidden="false" customHeight="true" outlineLevel="0" collapsed="false">
      <c r="A13" s="6" t="s">
        <v>14</v>
      </c>
      <c r="B13" s="7" t="s">
        <v>8</v>
      </c>
      <c r="C13" s="8" t="n">
        <f aca="false">Recoverability_tree!E7</f>
        <v>0</v>
      </c>
      <c r="D13" s="8" t="n">
        <f aca="false">Recoverability_tree!E6</f>
        <v>1</v>
      </c>
    </row>
    <row r="14" customFormat="false" ht="15" hidden="false" customHeight="true" outlineLevel="0" collapsed="false">
      <c r="A14" s="6" t="s">
        <v>15</v>
      </c>
      <c r="B14" s="7" t="s">
        <v>8</v>
      </c>
      <c r="C14" s="8" t="n">
        <f aca="false">SIF!C8</f>
        <v>0.3</v>
      </c>
      <c r="D14" s="8" t="n">
        <f aca="false">SIF!D8</f>
        <v>0.9</v>
      </c>
    </row>
    <row r="16" customFormat="false" ht="15" hidden="false" customHeight="true" outlineLevel="0" collapsed="false">
      <c r="A16" s="6" t="s">
        <v>16</v>
      </c>
      <c r="B16" s="6"/>
      <c r="C16" s="6"/>
      <c r="D16" s="6"/>
    </row>
    <row r="17" customFormat="false" ht="57.75" hidden="false" customHeight="true" outlineLevel="0" collapsed="false">
      <c r="A17" s="3" t="s">
        <v>17</v>
      </c>
      <c r="B17" s="3"/>
      <c r="C17" s="3"/>
      <c r="D17" s="3"/>
    </row>
    <row r="18" customFormat="false" ht="57.75" hidden="false" customHeight="true" outlineLevel="0" collapsed="false">
      <c r="A18" s="3" t="s">
        <v>18</v>
      </c>
      <c r="B18" s="3"/>
      <c r="C18" s="3"/>
      <c r="D18" s="3"/>
    </row>
    <row r="19" customFormat="false" ht="57.75" hidden="false" customHeight="true" outlineLevel="0" collapsed="false">
      <c r="A19" s="3" t="s">
        <v>19</v>
      </c>
      <c r="B19" s="3"/>
      <c r="C19" s="3"/>
      <c r="D19" s="3"/>
    </row>
    <row r="21" customFormat="false" ht="15" hidden="false" customHeight="true" outlineLevel="0" collapsed="false">
      <c r="A21" s="6" t="s">
        <v>20</v>
      </c>
      <c r="B21" s="6"/>
      <c r="C21" s="6"/>
      <c r="D21" s="6"/>
    </row>
    <row r="22" customFormat="false" ht="57.75" hidden="false" customHeight="true" outlineLevel="0" collapsed="false">
      <c r="A22" s="3" t="s">
        <v>21</v>
      </c>
      <c r="B22" s="3"/>
      <c r="C22" s="3"/>
      <c r="D22" s="3"/>
    </row>
    <row r="23" customFormat="false" ht="57.75" hidden="false" customHeight="true" outlineLevel="0" collapsed="false">
      <c r="A23" s="3" t="s">
        <v>22</v>
      </c>
      <c r="B23" s="3"/>
      <c r="C23" s="3"/>
      <c r="D23" s="3"/>
    </row>
  </sheetData>
  <mergeCells count="11">
    <mergeCell ref="A1:D1"/>
    <mergeCell ref="A2:D2"/>
    <mergeCell ref="A4:D4"/>
    <mergeCell ref="A9:D9"/>
    <mergeCell ref="A16:D16"/>
    <mergeCell ref="A17:D17"/>
    <mergeCell ref="A18:D18"/>
    <mergeCell ref="A19:D19"/>
    <mergeCell ref="A21:D21"/>
    <mergeCell ref="A22:D22"/>
    <mergeCell ref="A23:D23"/>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220" zoomScaleNormal="22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953125" defaultRowHeight="15" zeroHeight="false" outlineLevelRow="0" outlineLevelCol="0"/>
  <cols>
    <col collapsed="false" customWidth="true" hidden="false" outlineLevel="0" max="1" min="1" style="1" width="7"/>
    <col collapsed="false" customWidth="true" hidden="false" outlineLevel="0" max="2" min="2" style="1" width="27"/>
    <col collapsed="false" customWidth="true" hidden="false" outlineLevel="0" max="3" min="3" style="1" width="6.01"/>
    <col collapsed="false" customWidth="true" hidden="false" outlineLevel="0" max="4" min="4" style="1" width="40"/>
    <col collapsed="false" customWidth="true" hidden="false" outlineLevel="0" max="5" min="5" style="1" width="6.01"/>
    <col collapsed="false" customWidth="true" hidden="false" outlineLevel="0" max="6" min="6" style="1" width="42"/>
  </cols>
  <sheetData>
    <row r="1" customFormat="false" ht="15" hidden="false" customHeight="true" outlineLevel="0" collapsed="false">
      <c r="A1" s="6" t="s">
        <v>23</v>
      </c>
      <c r="B1" s="6"/>
      <c r="C1" s="6"/>
      <c r="D1" s="6"/>
      <c r="E1" s="6"/>
      <c r="F1" s="6"/>
      <c r="G1" s="6"/>
    </row>
    <row r="2" customFormat="false" ht="15" hidden="false" customHeight="true" outlineLevel="0" collapsed="false">
      <c r="A2" s="5" t="s">
        <v>24</v>
      </c>
      <c r="B2" s="5" t="s">
        <v>25</v>
      </c>
      <c r="C2" s="5" t="s">
        <v>5</v>
      </c>
      <c r="D2" s="5" t="s">
        <v>26</v>
      </c>
      <c r="E2" s="5" t="s">
        <v>6</v>
      </c>
      <c r="F2" s="5" t="s">
        <v>27</v>
      </c>
    </row>
    <row r="3" customFormat="false" ht="23.25" hidden="false" customHeight="true" outlineLevel="0" collapsed="false">
      <c r="A3" s="9" t="s">
        <v>28</v>
      </c>
      <c r="B3" s="3" t="s">
        <v>29</v>
      </c>
      <c r="C3" s="10" t="n">
        <v>0</v>
      </c>
      <c r="D3" s="3" t="s">
        <v>30</v>
      </c>
      <c r="E3" s="10" t="n">
        <v>0</v>
      </c>
      <c r="F3" s="3" t="s">
        <v>31</v>
      </c>
    </row>
    <row r="4" customFormat="false" ht="15" hidden="false" customHeight="true" outlineLevel="0" collapsed="false">
      <c r="A4" s="9" t="s">
        <v>32</v>
      </c>
      <c r="B4" s="3" t="s">
        <v>33</v>
      </c>
      <c r="C4" s="11" t="n">
        <v>1</v>
      </c>
      <c r="D4" s="3" t="s">
        <v>34</v>
      </c>
      <c r="E4" s="11" t="n">
        <v>1</v>
      </c>
      <c r="F4" s="3" t="s">
        <v>35</v>
      </c>
    </row>
    <row r="5" customFormat="false" ht="23.25" hidden="false" customHeight="true" outlineLevel="0" collapsed="false">
      <c r="A5" s="9" t="s">
        <v>36</v>
      </c>
      <c r="B5" s="3" t="s">
        <v>37</v>
      </c>
      <c r="C5" s="11" t="n">
        <v>1</v>
      </c>
      <c r="D5" s="3" t="s">
        <v>38</v>
      </c>
      <c r="E5" s="11" t="n">
        <v>1</v>
      </c>
      <c r="F5" s="3" t="s">
        <v>39</v>
      </c>
    </row>
    <row r="6" customFormat="false" ht="23.25" hidden="false" customHeight="true" outlineLevel="0" collapsed="false">
      <c r="A6" s="9" t="s">
        <v>40</v>
      </c>
      <c r="B6" s="3" t="s">
        <v>41</v>
      </c>
      <c r="C6" s="10" t="n">
        <v>0</v>
      </c>
      <c r="D6" s="3" t="s">
        <v>42</v>
      </c>
      <c r="E6" s="10" t="n">
        <v>0</v>
      </c>
      <c r="F6" s="3" t="s">
        <v>43</v>
      </c>
    </row>
    <row r="7" customFormat="false" ht="23.25" hidden="false" customHeight="true" outlineLevel="0" collapsed="false">
      <c r="A7" s="9" t="s">
        <v>44</v>
      </c>
      <c r="B7" s="3" t="s">
        <v>45</v>
      </c>
      <c r="C7" s="10" t="n">
        <v>0</v>
      </c>
      <c r="D7" s="3" t="s">
        <v>46</v>
      </c>
      <c r="E7" s="10" t="n">
        <v>0</v>
      </c>
      <c r="F7" s="3" t="s">
        <v>47</v>
      </c>
    </row>
    <row r="8" customFormat="false" ht="23.25" hidden="false" customHeight="true" outlineLevel="0" collapsed="false">
      <c r="A8" s="9" t="s">
        <v>48</v>
      </c>
      <c r="B8" s="3" t="s">
        <v>49</v>
      </c>
      <c r="C8" s="11" t="n">
        <v>1</v>
      </c>
      <c r="D8" s="3" t="s">
        <v>50</v>
      </c>
      <c r="E8" s="11" t="n">
        <v>1</v>
      </c>
      <c r="F8" s="3" t="s">
        <v>51</v>
      </c>
    </row>
    <row r="9" customFormat="false" ht="23.25" hidden="false" customHeight="true" outlineLevel="0" collapsed="false">
      <c r="A9" s="9" t="s">
        <v>52</v>
      </c>
      <c r="B9" s="3" t="s">
        <v>53</v>
      </c>
      <c r="C9" s="11" t="n">
        <v>1</v>
      </c>
      <c r="D9" s="3" t="s">
        <v>54</v>
      </c>
      <c r="E9" s="10" t="n">
        <v>0</v>
      </c>
      <c r="F9" s="3" t="s">
        <v>55</v>
      </c>
    </row>
    <row r="10" customFormat="false" ht="15" hidden="false" customHeight="true" outlineLevel="0" collapsed="false">
      <c r="B10" s="12" t="s">
        <v>56</v>
      </c>
      <c r="C10" s="12" t="n">
        <f aca="false">AVERAGE(C3:C9)</f>
        <v>0.571428571428571</v>
      </c>
      <c r="E10" s="12" t="n">
        <f aca="false">AVERAGE(E3:E9)</f>
        <v>0.428571428571429</v>
      </c>
    </row>
  </sheetData>
  <mergeCells count="1">
    <mergeCell ref="A1:G1"/>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220" zoomScaleNormal="22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953125" defaultRowHeight="15" zeroHeight="false" outlineLevelRow="0" outlineLevelCol="0"/>
  <cols>
    <col collapsed="false" customWidth="true" hidden="false" outlineLevel="0" max="1" min="1" style="1" width="11.99"/>
    <col collapsed="false" customWidth="true" hidden="false" outlineLevel="0" max="2" min="2" style="1" width="34"/>
    <col collapsed="false" customWidth="true" hidden="false" outlineLevel="0" max="3" min="3" style="1" width="14.01"/>
    <col collapsed="false" customWidth="true" hidden="false" outlineLevel="0" max="5" min="4" style="1" width="8"/>
    <col collapsed="false" customWidth="true" hidden="false" outlineLevel="0" max="6" min="6" style="1" width="30.02"/>
  </cols>
  <sheetData>
    <row r="1" customFormat="false" ht="26.25" hidden="false" customHeight="true" outlineLevel="0" collapsed="false">
      <c r="A1" s="6" t="s">
        <v>57</v>
      </c>
      <c r="B1" s="6"/>
      <c r="C1" s="6"/>
      <c r="D1" s="6"/>
      <c r="E1" s="6"/>
      <c r="F1" s="6"/>
    </row>
    <row r="2" customFormat="false" ht="26.25" hidden="false" customHeight="true" outlineLevel="0" collapsed="false">
      <c r="A2" s="5" t="s">
        <v>58</v>
      </c>
      <c r="B2" s="5" t="s">
        <v>59</v>
      </c>
      <c r="C2" s="5" t="s">
        <v>60</v>
      </c>
      <c r="D2" s="5" t="s">
        <v>61</v>
      </c>
      <c r="E2" s="5" t="s">
        <v>62</v>
      </c>
      <c r="F2" s="5" t="s">
        <v>63</v>
      </c>
    </row>
    <row r="3" customFormat="false" ht="34.5" hidden="false" customHeight="true" outlineLevel="0" collapsed="false">
      <c r="A3" s="9" t="s">
        <v>64</v>
      </c>
      <c r="B3" s="3" t="s">
        <v>65</v>
      </c>
      <c r="C3" s="3" t="s">
        <v>66</v>
      </c>
      <c r="D3" s="13" t="n">
        <v>0.67</v>
      </c>
      <c r="E3" s="7" t="n">
        <v>1</v>
      </c>
      <c r="F3" s="3" t="s">
        <v>67</v>
      </c>
    </row>
    <row r="4" customFormat="false" ht="34.5" hidden="false" customHeight="true" outlineLevel="0" collapsed="false">
      <c r="A4" s="9" t="s">
        <v>68</v>
      </c>
      <c r="B4" s="3" t="s">
        <v>69</v>
      </c>
      <c r="C4" s="3" t="s">
        <v>70</v>
      </c>
      <c r="D4" s="13" t="n">
        <v>0.33</v>
      </c>
      <c r="E4" s="7" t="n">
        <v>0</v>
      </c>
      <c r="F4" s="3" t="s">
        <v>71</v>
      </c>
    </row>
    <row r="6" customFormat="false" ht="15" hidden="false" customHeight="true" outlineLevel="0" collapsed="false">
      <c r="A6" s="6" t="s">
        <v>72</v>
      </c>
      <c r="B6" s="6"/>
      <c r="C6" s="6"/>
      <c r="D6" s="6"/>
      <c r="E6" s="6"/>
      <c r="F6" s="6"/>
    </row>
    <row r="7" customFormat="false" ht="129.75" hidden="false" customHeight="true" outlineLevel="0" collapsed="false">
      <c r="A7" s="3" t="s">
        <v>73</v>
      </c>
      <c r="B7" s="3"/>
      <c r="C7" s="3"/>
      <c r="D7" s="3"/>
      <c r="E7" s="3"/>
      <c r="F7" s="3"/>
    </row>
  </sheetData>
  <mergeCells count="3">
    <mergeCell ref="A1:F1"/>
    <mergeCell ref="A6:F6"/>
    <mergeCell ref="A7:F7"/>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7"/>
  <sheetViews>
    <sheetView showFormulas="false" showGridLines="true" showRowColHeaders="true" showZeros="true" rightToLeft="false" tabSelected="true" showOutlineSymbols="true" defaultGridColor="true" view="normal" topLeftCell="A1" colorId="64" zoomScale="220" zoomScaleNormal="22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953125" defaultRowHeight="15" zeroHeight="false" outlineLevelRow="0" outlineLevelCol="0"/>
  <cols>
    <col collapsed="false" customWidth="true" hidden="false" outlineLevel="0" max="1" min="1" style="1" width="26"/>
    <col collapsed="false" customWidth="true" hidden="false" outlineLevel="0" max="2" min="2" style="1" width="11.99"/>
    <col collapsed="false" customWidth="true" hidden="false" outlineLevel="0" max="5" min="3" style="1" width="8"/>
    <col collapsed="false" customWidth="true" hidden="false" outlineLevel="0" max="6" min="6" style="1" width="40"/>
  </cols>
  <sheetData>
    <row r="1" customFormat="false" ht="26.25" hidden="false" customHeight="true" outlineLevel="0" collapsed="false">
      <c r="A1" s="6" t="s">
        <v>74</v>
      </c>
      <c r="B1" s="6"/>
      <c r="C1" s="6"/>
      <c r="D1" s="6"/>
      <c r="E1" s="6"/>
      <c r="F1" s="6"/>
    </row>
    <row r="2" customFormat="false" ht="26.25" hidden="false" customHeight="true" outlineLevel="0" collapsed="false">
      <c r="A2" s="5" t="s">
        <v>75</v>
      </c>
      <c r="B2" s="5" t="s">
        <v>76</v>
      </c>
      <c r="C2" s="5" t="s">
        <v>77</v>
      </c>
      <c r="D2" s="5" t="s">
        <v>78</v>
      </c>
      <c r="E2" s="5" t="s">
        <v>79</v>
      </c>
      <c r="F2" s="5" t="s">
        <v>80</v>
      </c>
    </row>
    <row r="3" customFormat="false" ht="23.25" hidden="false" customHeight="true" outlineLevel="0" collapsed="false">
      <c r="A3" s="6" t="s">
        <v>81</v>
      </c>
      <c r="B3" s="7" t="n">
        <v>1</v>
      </c>
      <c r="C3" s="11" t="n">
        <v>1</v>
      </c>
      <c r="D3" s="11" t="n">
        <v>1</v>
      </c>
      <c r="E3" s="11" t="n">
        <v>1</v>
      </c>
      <c r="F3" s="3" t="s">
        <v>82</v>
      </c>
    </row>
    <row r="4" customFormat="false" ht="26.25" hidden="false" customHeight="true" outlineLevel="0" collapsed="false">
      <c r="A4" s="6" t="s">
        <v>83</v>
      </c>
      <c r="B4" s="7" t="n">
        <v>3</v>
      </c>
      <c r="C4" s="11" t="n">
        <v>1</v>
      </c>
      <c r="D4" s="11" t="n">
        <v>1</v>
      </c>
      <c r="E4" s="11" t="n">
        <v>1</v>
      </c>
      <c r="F4" s="3" t="s">
        <v>84</v>
      </c>
    </row>
    <row r="5" customFormat="false" ht="15" hidden="false" customHeight="true" outlineLevel="0" collapsed="false">
      <c r="A5" s="6" t="s">
        <v>85</v>
      </c>
      <c r="B5" s="7" t="n">
        <v>5</v>
      </c>
      <c r="C5" s="11" t="n">
        <v>1</v>
      </c>
      <c r="D5" s="11" t="n">
        <v>1</v>
      </c>
      <c r="E5" s="11" t="n">
        <v>1</v>
      </c>
      <c r="F5" s="3" t="s">
        <v>86</v>
      </c>
    </row>
    <row r="6" customFormat="false" ht="23.25" hidden="false" customHeight="true" outlineLevel="0" collapsed="false">
      <c r="A6" s="14" t="s">
        <v>87</v>
      </c>
      <c r="B6" s="14" t="n">
        <v>9</v>
      </c>
      <c r="C6" s="14" t="n">
        <f aca="false">SUMPRODUCT(B3:B5,C3:C5)/SUM(B3:B5)</f>
        <v>1</v>
      </c>
      <c r="D6" s="14" t="n">
        <f aca="false">SUMPRODUCT(B3:B5,D3:D5)/SUM(B3:B5)</f>
        <v>1</v>
      </c>
      <c r="E6" s="14" t="n">
        <f aca="false">SUMPRODUCT(B3:B5,E3:E5)/SUM(B3:B5)</f>
        <v>1</v>
      </c>
      <c r="F6" s="3" t="s">
        <v>88</v>
      </c>
    </row>
    <row r="7" customFormat="false" ht="23.25" hidden="false" customHeight="true" outlineLevel="0" collapsed="false">
      <c r="A7" s="15" t="s">
        <v>89</v>
      </c>
      <c r="B7" s="10" t="s">
        <v>90</v>
      </c>
      <c r="C7" s="15" t="n">
        <v>0</v>
      </c>
      <c r="D7" s="15" t="n">
        <v>0</v>
      </c>
      <c r="E7" s="15" t="n">
        <v>0</v>
      </c>
      <c r="F7" s="3" t="s">
        <v>91</v>
      </c>
    </row>
  </sheetData>
  <mergeCells count="1">
    <mergeCell ref="A1:F1"/>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220" zoomScaleNormal="22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953125" defaultRowHeight="15" zeroHeight="false" outlineLevelRow="0" outlineLevelCol="0"/>
  <cols>
    <col collapsed="false" customWidth="true" hidden="false" outlineLevel="0" max="1" min="1" style="1" width="24"/>
    <col collapsed="false" customWidth="true" hidden="false" outlineLevel="0" max="4" min="2" style="1" width="7"/>
    <col collapsed="false" customWidth="true" hidden="false" outlineLevel="0" max="5" min="5" style="1" width="66"/>
  </cols>
  <sheetData>
    <row r="1" customFormat="false" ht="15" hidden="false" customHeight="true" outlineLevel="0" collapsed="false">
      <c r="A1" s="6" t="s">
        <v>92</v>
      </c>
      <c r="B1" s="6"/>
      <c r="C1" s="6"/>
      <c r="D1" s="6"/>
      <c r="E1" s="6"/>
    </row>
    <row r="2" customFormat="false" ht="15" hidden="false" customHeight="true" outlineLevel="0" collapsed="false">
      <c r="A2" s="5" t="s">
        <v>93</v>
      </c>
      <c r="B2" s="5" t="s">
        <v>4</v>
      </c>
      <c r="C2" s="5" t="s">
        <v>5</v>
      </c>
      <c r="D2" s="5" t="s">
        <v>6</v>
      </c>
      <c r="E2" s="5" t="s">
        <v>80</v>
      </c>
    </row>
    <row r="3" customFormat="false" ht="15" hidden="false" customHeight="true" outlineLevel="0" collapsed="false">
      <c r="A3" s="6" t="s">
        <v>94</v>
      </c>
      <c r="B3" s="7" t="n">
        <v>1</v>
      </c>
      <c r="C3" s="7" t="n">
        <v>1</v>
      </c>
      <c r="D3" s="7" t="n">
        <v>1</v>
      </c>
      <c r="E3" s="3" t="s">
        <v>95</v>
      </c>
    </row>
    <row r="4" customFormat="false" ht="26.25" hidden="false" customHeight="true" outlineLevel="0" collapsed="false">
      <c r="A4" s="6" t="s">
        <v>96</v>
      </c>
      <c r="B4" s="7" t="n">
        <v>1</v>
      </c>
      <c r="C4" s="7" t="n">
        <v>0.5</v>
      </c>
      <c r="D4" s="7" t="n">
        <v>1</v>
      </c>
      <c r="E4" s="3" t="s">
        <v>97</v>
      </c>
    </row>
    <row r="5" customFormat="false" ht="23.25" hidden="false" customHeight="true" outlineLevel="0" collapsed="false">
      <c r="A5" s="6" t="s">
        <v>98</v>
      </c>
      <c r="B5" s="7" t="n">
        <v>1</v>
      </c>
      <c r="C5" s="7" t="n">
        <v>0</v>
      </c>
      <c r="D5" s="7" t="n">
        <v>1</v>
      </c>
      <c r="E5" s="3" t="s">
        <v>99</v>
      </c>
    </row>
    <row r="6" customFormat="false" ht="15" hidden="false" customHeight="true" outlineLevel="0" collapsed="false">
      <c r="A6" s="6" t="s">
        <v>100</v>
      </c>
      <c r="B6" s="7" t="n">
        <v>1</v>
      </c>
      <c r="C6" s="7" t="n">
        <v>0</v>
      </c>
      <c r="D6" s="7" t="n">
        <v>1</v>
      </c>
      <c r="E6" s="3" t="s">
        <v>101</v>
      </c>
    </row>
    <row r="7" customFormat="false" ht="23.25" hidden="false" customHeight="true" outlineLevel="0" collapsed="false">
      <c r="A7" s="6" t="s">
        <v>102</v>
      </c>
      <c r="B7" s="7" t="n">
        <v>1</v>
      </c>
      <c r="C7" s="7" t="n">
        <v>0</v>
      </c>
      <c r="D7" s="7" t="n">
        <v>0.5</v>
      </c>
      <c r="E7" s="3" t="s">
        <v>103</v>
      </c>
    </row>
    <row r="8" customFormat="false" ht="15" hidden="false" customHeight="true" outlineLevel="0" collapsed="false">
      <c r="A8" s="12" t="s">
        <v>104</v>
      </c>
      <c r="B8" s="12" t="n">
        <f aca="false">AVERAGE(B3:B7)</f>
        <v>1</v>
      </c>
      <c r="C8" s="12" t="n">
        <f aca="false">AVERAGE(C3:C7)</f>
        <v>0.3</v>
      </c>
      <c r="D8" s="12" t="n">
        <f aca="false">AVERAGE(D3:D7)</f>
        <v>0.9</v>
      </c>
    </row>
  </sheetData>
  <mergeCells count="1">
    <mergeCell ref="A1:E1"/>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LibreOffice/6.4.6.2$Windows_X86_64 LibreOffice_project/0ce51a4fd21bff07a5c061082cc82c5ed232f115</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2026-06-27T10:41:46Z</dcterms:created>
  <dc:creator>openpyxl</dc:creator>
  <dc:description/>
  <dc:language>en-US</dc:language>
  <cp:lastModifiedBy/>
  <dcterms:modified xsi:type="dcterms:W3CDTF">2026-07-01T06:59:53Z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ies>
</file>