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Coverage_strict" sheetId="2" state="visible" r:id="rId3"/>
    <sheet name="Coverage_graded" sheetId="3" state="visible" r:id="rId4"/>
    <sheet name="Recoverability_tree" sheetId="4" state="visible" r:id="rId5"/>
    <sheet name="SIF" sheetId="5" state="visible" r:id="rId6"/>
    <sheet name="Precision_S2" sheetId="6" state="visible" r:id="rId7"/>
    <sheet name="Precision_S3"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<sst xmlns="http://schemas.openxmlformats.org/spreadsheetml/2006/main" count="280" uniqueCount="220">
  <si>
    <t xml:space="preserve">PROVENANCE - code execution: scorecard</t>
  </si>
  <si>
    <t xml:space="preserve">S1 = ground truth (Table 1). S2 = LangChain unstructured. S3 = LangChain + policy model (structured, autonomous coding agent). Two metric groups: coverage reflects the LLM's behavior; recoverability is a property of our framework, by construction over the whole tree.</t>
  </si>
  <si>
    <t xml:space="preserve">COVERAGE  (reflects the LLM, not the framework; strict scoring)</t>
  </si>
  <si>
    <t xml:space="preserve">Metric</t>
  </si>
  <si>
    <t xml:space="preserve">S1</t>
  </si>
  <si>
    <t xml:space="preserve">S2</t>
  </si>
  <si>
    <t xml:space="preserve">S3</t>
  </si>
  <si>
    <t xml:space="preserve">Recall (steps recovered / 10, strict)</t>
  </si>
  <si>
    <t xml:space="preserve">1.00</t>
  </si>
  <si>
    <t xml:space="preserve">Precision (relevant / emitted)</t>
  </si>
  <si>
    <t xml:space="preserve">RECOVERABILITY  (our framework, by construction, whole tree)</t>
  </si>
  <si>
    <t xml:space="preserve">TC - trace coverage</t>
  </si>
  <si>
    <t xml:space="preserve">AC - accountability completeness</t>
  </si>
  <si>
    <t xml:space="preserve">EF - explanation fidelity (explainable by design)</t>
  </si>
  <si>
    <t xml:space="preserve">SIF - semantic intent fidelity</t>
  </si>
  <si>
    <t xml:space="preserve">What the numbers say:</t>
  </si>
  <si>
    <t xml:space="preserve">•  Recoverability is total for structured, zero for unstructured (TC = AC = EF = 1.00 vs 0). This is the framework's contribution and it holds over the whole tree, every level, not just the executable leaves.</t>
  </si>
  <si>
    <t xml:space="preserve">•  Coverage is low in both arms and improves with structure (0.10 to 0.40). This reflects the LLM's behavior, not our model: the LLM does not produce complete, verifiable, operation-specific policies on its own. Structure improves it; it does not complete it. This is the case for a hardcoded assurance engine.</t>
  </si>
  <si>
    <t xml:space="preserve">•  EF is explainability by design: the structured tree can be traversed to explain any node without dropping or fabricating steps; free text cannot, so EF = 0 for S2.</t>
  </si>
  <si>
    <t xml:space="preserve">•  SIF: the structured format carries resource, spatial, temporal, and context to every policy (1.00); free text drops temporal and context (0.40).</t>
  </si>
  <si>
    <t xml:space="preserve">What changed, and why:</t>
  </si>
  <si>
    <t xml:space="preserve">•  Coverage is now STRICT (partial = 0). Code recall moved 0.25 -&gt; 0.10 (S2) and 0.55 -&gt; 0.40 (S3) because generic / different-mechanism policies no longer earn 0.5. Rationale and a full graded breakdown are on the Coverage_graded sheet.</t>
  </si>
  <si>
    <t xml:space="preserve">•  TC/AC/EF are now over the WHOLE TREE, not the leaves, and EF is redefined as explainability-by-design Together these move S3 from 0.38 / 0.62 / 0.06 (leaves) to 1.00 / 1.00 / 1.00 (whole tree). This is the expected result of applying both corrections, not a re-tuned number.</t>
  </si>
  <si>
    <t xml:space="preserve">•  The 'leaves' framing is dropped; the Recoverability_tree sheet reports by level to show monitor/analyze/plan policies are as accountable as execute policies.</t>
  </si>
  <si>
    <t xml:space="preserve">Precision is backed by per-policy ledgers (Precision_S2, Precision_S3): S2 = 5/8 = 0.63, S3 = 13/21 = 0.62. Recoverability (TC/AC/EF) is scored on the ground-truth tree (Table 1, 16 policies) to match the paper's Table 4; by construction it also holds for the 22-policy S3 output. Coverage (recall/precision) is scored on the S2/S3 LLM outputs (8 and 22 policies).</t>
  </si>
  <si>
    <t xml:space="preserve">Code execution. STRICT coverage against the 10-step key. A policy correctly realizes a step (1) or it does not (0). No partial credit: a generic or different-mechanism policy that does not specifically and verifiably implement the required step scores 0. Recall = mean.</t>
  </si>
  <si>
    <t xml:space="preserve">GT</t>
  </si>
  <si>
    <t xml:space="preserve">Required step</t>
  </si>
  <si>
    <t xml:space="preserve">S2 note</t>
  </si>
  <si>
    <t xml:space="preserve">S3 note</t>
  </si>
  <si>
    <t xml:space="preserve">GT-01</t>
  </si>
  <si>
    <t xml:space="preserve">classify which files are sensitive</t>
  </si>
  <si>
    <t xml:space="preserve">Treats whole directory as uniform; no classification.</t>
  </si>
  <si>
    <t xml:space="preserve">P2 classify + P2.1 tag. Correct.</t>
  </si>
  <si>
    <t xml:space="preserve">GT-02</t>
  </si>
  <si>
    <t xml:space="preserve">monitor file operations</t>
  </si>
  <si>
    <t xml:space="preserve">Audit logging. Correct monitor step.</t>
  </si>
  <si>
    <t xml:space="preserve">P1 monitor. Correct.</t>
  </si>
  <si>
    <t xml:space="preserve">GT-03</t>
  </si>
  <si>
    <t xml:space="preserve">check actor authorization</t>
  </si>
  <si>
    <t xml:space="preserve">OS permissions / MAC gesture at access control, but no authorization-check policy. Not the step.</t>
  </si>
  <si>
    <t xml:space="preserve">P3 analyze + P3.1 compare actor against allowlist. Correct.</t>
  </si>
  <si>
    <t xml:space="preserve">GT-04</t>
  </si>
  <si>
    <t xml:space="preserve">block unauthorized read</t>
  </si>
  <si>
    <t xml:space="preserve">No-world-readable is permission config, not a block-read rule.</t>
  </si>
  <si>
    <t xml:space="preserve">P4.1.1 'block unauthorized access' = the access/read case</t>
  </si>
  <si>
    <t xml:space="preserve">GT-05</t>
  </si>
  <si>
    <t xml:space="preserve">block copy out of scope</t>
  </si>
  <si>
    <t xml:space="preserve">No egress control.</t>
  </si>
  <si>
    <t xml:space="preserve">No copy-out-of-scope control.</t>
  </si>
  <si>
    <t xml:space="preserve">GT-06</t>
  </si>
  <si>
    <t xml:space="preserve">block move out of scope</t>
  </si>
  <si>
    <t xml:space="preserve">No move-out-of-scope control.</t>
  </si>
  <si>
    <t xml:space="preserve">GT-07</t>
  </si>
  <si>
    <t xml:space="preserve">block unauthorized write</t>
  </si>
  <si>
    <t xml:space="preserve">Immutable flag is not a block-write rule.</t>
  </si>
  <si>
    <t xml:space="preserve">Generic block is not write-specific</t>
  </si>
  <si>
    <t xml:space="preserve">GT-08</t>
  </si>
  <si>
    <t xml:space="preserve">block permission/ownership weakening</t>
  </si>
  <si>
    <t xml:space="preserve">Sets permissions; no guard against weakening.</t>
  </si>
  <si>
    <t xml:space="preserve">P4.2.1 restores permissions after the fact (different mechanism); does not block the change. (P1.1 is a monitor policy, not a reset.)</t>
  </si>
  <si>
    <t xml:space="preserve">GT-09</t>
  </si>
  <si>
    <t xml:space="preserve">block unauthorized delete</t>
  </si>
  <si>
    <t xml:space="preserve">No delete control.</t>
  </si>
  <si>
    <t xml:space="preserve">Generic block is not delete-specific. Not the step.</t>
  </si>
  <si>
    <t xml:space="preserve">GT-10</t>
  </si>
  <si>
    <t xml:space="preserve">reject symlink / path-traversal escape</t>
  </si>
  <si>
    <t xml:space="preserve">No symlink guard.</t>
  </si>
  <si>
    <t xml:space="preserve">RECALL (strict)</t>
  </si>
  <si>
    <t xml:space="preserve">COMPANION (not used in the paper). Graded view that was described: each partial step is broken into sub-parts and scored by the fraction satisfied. Prepared so the choice is transparent and the switch is ready; the paper uses the strict column on the left sheet. Rationale at the bottom.</t>
  </si>
  <si>
    <t xml:space="preserve">GT (arm)</t>
  </si>
  <si>
    <t xml:space="preserve">Required sub-parts</t>
  </si>
  <si>
    <t xml:space="preserve">Sub-parts met</t>
  </si>
  <si>
    <t xml:space="preserve">Graded score</t>
  </si>
  <si>
    <t xml:space="preserve">Strict score</t>
  </si>
  <si>
    <t xml:space="preserve">Why graded differs</t>
  </si>
  <si>
    <t xml:space="preserve">GT-03 (S2)</t>
  </si>
  <si>
    <t xml:space="preserve">access control present; authorization-check policy present</t>
  </si>
  <si>
    <t xml:space="preserve">1 of 2 (control yes, auth-check no)</t>
  </si>
  <si>
    <t xml:space="preserve">Permissions exist but no authorization decision.</t>
  </si>
  <si>
    <t xml:space="preserve">GT-04 (S3)</t>
  </si>
  <si>
    <t xml:space="preserve">blocks the operation; operation is read/access; unauthorized condition</t>
  </si>
  <si>
    <t xml:space="preserve">3 of 3 (access is the read case)</t>
  </si>
  <si>
    <t xml:space="preserve">Matches strict here.</t>
  </si>
  <si>
    <t xml:space="preserve">GT-07 (S3)</t>
  </si>
  <si>
    <t xml:space="preserve">blocks the operation; operation is write-specific; unauthorized condition</t>
  </si>
  <si>
    <t xml:space="preserve">2 of 3 (not write-specific)</t>
  </si>
  <si>
    <t xml:space="preserve">Generic block, not write-specific.</t>
  </si>
  <si>
    <t xml:space="preserve">GT-08 (S3)</t>
  </si>
  <si>
    <t xml:space="preserve">prevents the weakening; acts before the change; on permission attributes</t>
  </si>
  <si>
    <t xml:space="preserve">1 of 3 (resets after, not before)</t>
  </si>
  <si>
    <t xml:space="preserve">Reset-after mechanism, not block-before.</t>
  </si>
  <si>
    <t xml:space="preserve">GT-09 (S3)</t>
  </si>
  <si>
    <t xml:space="preserve">blocks the operation; operation is delete-specific; unauthorized condition</t>
  </si>
  <si>
    <t xml:space="preserve">2 of 3 (not delete-specific)</t>
  </si>
  <si>
    <t xml:space="preserve">Generic block, not delete-specific.</t>
  </si>
  <si>
    <t xml:space="preserve">GT-07 (S2)</t>
  </si>
  <si>
    <t xml:space="preserve">blocks the operation; write-specific; general (not one file)</t>
  </si>
  <si>
    <t xml:space="preserve">1.5 of 3 (immutable, static files only)</t>
  </si>
  <si>
    <t xml:space="preserve">Immutable flag, narrow and static.</t>
  </si>
  <si>
    <t xml:space="preserve">Why the paper uses STRICT, not graded:</t>
  </si>
  <si>
    <t xml:space="preserve">At enforcement time a policy is correct or it is not. A generic 'block access' that should block writes specifically is not two-thirds of a write-block; it is a different policy that overlaps. Partial credit imports a 'close enough' notion that has no meaning when the policy has to actually run, and it is exactly the soft, interpretive judgment the unstructured baseline forces and that our structured model exists to eliminate. Binary scoring is honest about enforcement; graded is honest about resemblance, and resemblance is not what an enforcement system needs. The graded view above is provided in full so the choice is transparent; if a graded view is preferred, the numbers regenerate from these sub-part splits.</t>
  </si>
  <si>
    <t xml:space="preserve">Recoverability is a property of the WHOLE tree, not just the imperative leaves (every level is equally accountable). TC = traces to/from intent; AC = definer + enforcer recorded; EF = the node is explainable by traversing the tree without dropping or fabricating. Scored on the ground-truth tree (Table 1, 16 policies), matching the paper's Table 4.</t>
  </si>
  <si>
    <t xml:space="preserve">Level</t>
  </si>
  <si>
    <t xml:space="preserve">Policies (Table 1)</t>
  </si>
  <si>
    <t xml:space="preserve">TC</t>
  </si>
  <si>
    <t xml:space="preserve">AC</t>
  </si>
  <si>
    <t xml:space="preserve">EF</t>
  </si>
  <si>
    <t xml:space="preserve">Note</t>
  </si>
  <si>
    <t xml:space="preserve">Declarative (root)</t>
  </si>
  <si>
    <t xml:space="preserve">The intent restated; defined by the human operator.</t>
  </si>
  <si>
    <t xml:space="preserve">Definitive (Monitor / Analyze / Plan)</t>
  </si>
  <si>
    <t xml:space="preserve">Every intermediate policy traces, carries a definer/enforcer, and is explainable. These are NOT leaves.</t>
  </si>
  <si>
    <t xml:space="preserve">Imperative (Execute)</t>
  </si>
  <si>
    <t xml:space="preserve">The executable leaves.</t>
  </si>
  <si>
    <t xml:space="preserve">WHOLE TREE (Table 1)</t>
  </si>
  <si>
    <t xml:space="preserve">8 of 16 policies are non-leaf (1 declarative + 7 definitive). Scoring only the 8 leaves undercounts the contribution. Holds by construction for the 22-policy S3 output too.</t>
  </si>
  <si>
    <t xml:space="preserve">S2 (unstructured)</t>
  </si>
  <si>
    <t xml:space="preserve">8 (flat prose)</t>
  </si>
  <si>
    <t xml:space="preserve">No levels, no parents, no definers. Nothing recoverable at any level.</t>
  </si>
  <si>
    <t xml:space="preserve">Semantic Intent Fidelity: are the intent's constraint elements carried through refinement to the policies? 1/0.5/0. SIF = mean.</t>
  </si>
  <si>
    <t xml:space="preserve">Intent element</t>
  </si>
  <si>
    <t xml:space="preserve">action - protect</t>
  </si>
  <si>
    <t xml:space="preserve">S2 protects via config actions (partial); S3 carries the action to every policy.</t>
  </si>
  <si>
    <t xml:space="preserve">resource - file</t>
  </si>
  <si>
    <t xml:space="preserve">S2 treats the whole directory as one; S3 recovers classification.</t>
  </si>
  <si>
    <t xml:space="preserve">spatial - /srv/app/config</t>
  </si>
  <si>
    <t xml:space="preserve">Path present in both.</t>
  </si>
  <si>
    <t xml:space="preserve">temporal - always</t>
  </si>
  <si>
    <t xml:space="preserve">S2 carries no temporal field; S3 carries 'always' everywhere.</t>
  </si>
  <si>
    <t xml:space="preserve">context - production</t>
  </si>
  <si>
    <t xml:space="preserve">S2 carries no context; S3 carries 'production' everywhere.</t>
  </si>
  <si>
    <t xml:space="preserve">SIF</t>
  </si>
  <si>
    <t xml:space="preserve">S2 (unstructured) precision ledger. Each emitted policy is RELEVANT if it implements, monitors, analyzes, or plans one of the ten key steps, or OFF-TOPIC if it addresses something outside the closed key set. Precision = relevant / emitted. There is no root in the flat output, so all 8 policies are scored.</t>
  </si>
  <si>
    <t xml:space="preserve">S2 policy</t>
  </si>
  <si>
    <t xml:space="preserve">What it does</t>
  </si>
  <si>
    <t xml:space="preserve">Closest key step</t>
  </si>
  <si>
    <t xml:space="preserve">Relevant?</t>
  </si>
  <si>
    <t xml:space="preserve">Rel (1/0)</t>
  </si>
  <si>
    <t xml:space="preserve">Restrictive permissions</t>
  </si>
  <si>
    <t xml:space="preserve">chmod/chown least privilege at OS</t>
  </si>
  <si>
    <t xml:space="preserve">GT-04/GT-08 access control</t>
  </si>
  <si>
    <t xml:space="preserve">yes</t>
  </si>
  <si>
    <t xml:space="preserve">No world-readable/writable</t>
  </si>
  <si>
    <t xml:space="preserve">reject o+rwx on the directory</t>
  </si>
  <si>
    <t xml:space="preserve">GT-04 read exposure</t>
  </si>
  <si>
    <t xml:space="preserve">Immutable flag</t>
  </si>
  <si>
    <t xml:space="preserve">chattr +i on static config files</t>
  </si>
  <si>
    <t xml:space="preserve">GT-07 write protection</t>
  </si>
  <si>
    <t xml:space="preserve">Audit logging</t>
  </si>
  <si>
    <t xml:space="preserve">auditctl -w on the directory</t>
  </si>
  <si>
    <t xml:space="preserve">GT-02 monitor file operations</t>
  </si>
  <si>
    <t xml:space="preserve">No execute bit</t>
  </si>
  <si>
    <t xml:space="preserve">strip a+x on config files</t>
  </si>
  <si>
    <t xml:space="preserve">outside key set</t>
  </si>
  <si>
    <t xml:space="preserve">no</t>
  </si>
  <si>
    <t xml:space="preserve">Encryption at rest</t>
  </si>
  <si>
    <t xml:space="preserve">LUKS / fscrypt / SOPS</t>
  </si>
  <si>
    <t xml:space="preserve">No VCS commits</t>
  </si>
  <si>
    <t xml:space="preserve">.gitignore + pre-commit hook</t>
  </si>
  <si>
    <t xml:space="preserve">Least-privilege process</t>
  </si>
  <si>
    <t xml:space="preserve">run as unprivileged appuser</t>
  </si>
  <si>
    <t xml:space="preserve">GT-03 authorization</t>
  </si>
  <si>
    <t xml:space="preserve">PRECISION (relevant / 8)</t>
  </si>
  <si>
    <t xml:space="preserve">Policy</t>
  </si>
  <si>
    <t xml:space="preserve">Action</t>
  </si>
  <si>
    <t xml:space="preserve">Role in tree</t>
  </si>
  <si>
    <t xml:space="preserve">P1</t>
  </si>
  <si>
    <t xml:space="preserve">monitor</t>
  </si>
  <si>
    <t xml:space="preserve">watches access/permissions/integrity (GT-02)</t>
  </si>
  <si>
    <t xml:space="preserve">P1.1</t>
  </si>
  <si>
    <t xml:space="preserve">permission attributes (GT-02)</t>
  </si>
  <si>
    <t xml:space="preserve">P1.2</t>
  </si>
  <si>
    <t xml:space="preserve">integrity checksums (GT-02)</t>
  </si>
  <si>
    <t xml:space="preserve">P1.3</t>
  </si>
  <si>
    <t xml:space="preserve">file access operations (GT-02)</t>
  </si>
  <si>
    <t xml:space="preserve">P2</t>
  </si>
  <si>
    <t xml:space="preserve">classify</t>
  </si>
  <si>
    <t xml:space="preserve">sensitivity classification (GT-01)</t>
  </si>
  <si>
    <t xml:space="preserve">P2.1</t>
  </si>
  <si>
    <t xml:space="preserve">tag</t>
  </si>
  <si>
    <t xml:space="preserve">applies the sensitivity tag (GT-01)</t>
  </si>
  <si>
    <t xml:space="preserve">P3</t>
  </si>
  <si>
    <t xml:space="preserve">analyze</t>
  </si>
  <si>
    <t xml:space="preserve">access vs authorization (GT-03)</t>
  </si>
  <si>
    <t xml:space="preserve">P3.1</t>
  </si>
  <si>
    <t xml:space="preserve">compare</t>
  </si>
  <si>
    <t xml:space="preserve">actor against allowlist (GT-03)</t>
  </si>
  <si>
    <t xml:space="preserve">P3.2</t>
  </si>
  <si>
    <t xml:space="preserve">permissions vs baseline (GT-08 detection)</t>
  </si>
  <si>
    <t xml:space="preserve">P3.3</t>
  </si>
  <si>
    <t xml:space="preserve">checksums vs baseline (GT-07 detection)</t>
  </si>
  <si>
    <t xml:space="preserve">P4</t>
  </si>
  <si>
    <t xml:space="preserve">decide</t>
  </si>
  <si>
    <t xml:space="preserve">plans the block response</t>
  </si>
  <si>
    <t xml:space="preserve">P4.1</t>
  </si>
  <si>
    <t xml:space="preserve">plans the block (GT-04)</t>
  </si>
  <si>
    <t xml:space="preserve">P4.1.1</t>
  </si>
  <si>
    <t xml:space="preserve">block</t>
  </si>
  <si>
    <t xml:space="preserve">blocks unauthorized access (GT-04)</t>
  </si>
  <si>
    <t xml:space="preserve">P4.1.2</t>
  </si>
  <si>
    <t xml:space="preserve">revoke</t>
  </si>
  <si>
    <t xml:space="preserve">revokes actor session (remediation)</t>
  </si>
  <si>
    <t xml:space="preserve">P4.1.3</t>
  </si>
  <si>
    <t xml:space="preserve">alert</t>
  </si>
  <si>
    <t xml:space="preserve">emits an alert (notification)</t>
  </si>
  <si>
    <t xml:space="preserve">P4.2</t>
  </si>
  <si>
    <t xml:space="preserve">plans a permission restore (remediation)</t>
  </si>
  <si>
    <t xml:space="preserve">P4.2.1</t>
  </si>
  <si>
    <t xml:space="preserve">restore</t>
  </si>
  <si>
    <t xml:space="preserve">restores permission baseline (remediation)</t>
  </si>
  <si>
    <t xml:space="preserve">P4.2.2</t>
  </si>
  <si>
    <t xml:space="preserve">P4.3</t>
  </si>
  <si>
    <t xml:space="preserve">plans a quarantine (remediation)</t>
  </si>
  <si>
    <t xml:space="preserve">P4.3.1</t>
  </si>
  <si>
    <t xml:space="preserve">quarantine</t>
  </si>
  <si>
    <t xml:space="preserve">quarantines the modified file (remediation)</t>
  </si>
  <si>
    <t xml:space="preserve">P4.3.2</t>
  </si>
  <si>
    <t xml:space="preserve">PRECISION (relevant / 21)</t>
  </si>
  <si>
    <t xml:space="preserve">S3 (structured, autonomous-coding-agent persona) precision ledger. 22 policies; the root P0 is excluded, leaving 21 scored. RELEVANT = implements/monitors/analyzes/plans one of the ten key steps. OFF-TOPIC = remediation or notification beyond the required steps (revoke, restore, quarantine, alert). Precision = relevant / non-root emitted.</t>
  </si>
</sst>
</file>

<file path=xl/styles.xml><?xml version="1.0" encoding="utf-8"?>
<styleSheet xmlns="http://schemas.openxmlformats.org/spreadsheetml/2006/main">
  <numFmts count="2">
    <numFmt numFmtId="164" formatCode="General"/>
    <numFmt numFmtId="165" formatCode="0.00"/>
  </numFmts>
  <fonts count="10">
    <font>
      <sz val="11"/>
      <color rgb="FF000000"/>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b val="true"/>
      <sz val="11"/>
      <name val="Arial"/>
      <family val="0"/>
      <charset val="1"/>
    </font>
    <font>
      <b val="true"/>
      <sz val="11"/>
      <name val="Cambria"/>
      <family val="0"/>
      <charset val="1"/>
    </font>
    <font>
      <b val="true"/>
      <sz val="11"/>
      <color rgb="FF00000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C9DAF8"/>
      </patternFill>
    </fill>
    <fill>
      <patternFill patternType="solid">
        <fgColor rgb="FFFFF2CC"/>
        <bgColor rgb="FFFCE4D6"/>
      </patternFill>
    </fill>
    <fill>
      <patternFill patternType="solid">
        <fgColor rgb="FFC9DAF8"/>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0" ySplit="4" topLeftCell="A17" activePane="bottomLeft" state="frozen"/>
      <selection pane="topLeft" activeCell="A1" activeCellId="0" sqref="A1"/>
      <selection pane="bottomLeft" activeCell="A22" activeCellId="0" sqref="A22"/>
    </sheetView>
  </sheetViews>
  <sheetFormatPr defaultColWidth="8.70703125" defaultRowHeight="15" zeroHeight="false" outlineLevelRow="0" outlineLevelCol="0"/>
  <cols>
    <col collapsed="false" customWidth="true" hidden="false" outlineLevel="0" max="1" min="1" style="1" width="40"/>
    <col collapsed="false" customWidth="true" hidden="false" outlineLevel="0" max="4" min="2" style="1" width="14.01"/>
  </cols>
  <sheetData>
    <row r="1" customFormat="false" ht="32.25" hidden="false" customHeight="true" outlineLevel="0" collapsed="false">
      <c r="A1" s="2" t="s">
        <v>0</v>
      </c>
      <c r="B1" s="2"/>
      <c r="C1" s="2"/>
      <c r="D1" s="2"/>
    </row>
    <row r="2" customFormat="false" ht="34.5" hidden="false" customHeight="true" outlineLevel="0" collapsed="false">
      <c r="A2" s="3" t="s">
        <v>1</v>
      </c>
      <c r="B2" s="3"/>
      <c r="C2" s="3"/>
      <c r="D2" s="3"/>
    </row>
    <row r="4" customFormat="false" ht="15" hidden="false" customHeight="true" outlineLevel="0" collapsed="false">
      <c r="A4" s="4" t="s">
        <v>2</v>
      </c>
      <c r="B4" s="4"/>
      <c r="C4" s="4"/>
      <c r="D4" s="4"/>
    </row>
    <row r="5" customFormat="false" ht="15" hidden="false" customHeight="true" outlineLevel="0" collapsed="false">
      <c r="A5" s="5" t="s">
        <v>3</v>
      </c>
      <c r="B5" s="5" t="s">
        <v>4</v>
      </c>
      <c r="C5" s="5" t="s">
        <v>5</v>
      </c>
      <c r="D5" s="5" t="s">
        <v>6</v>
      </c>
    </row>
    <row r="6" customFormat="false" ht="15" hidden="false" customHeight="true" outlineLevel="0" collapsed="false">
      <c r="A6" s="6" t="s">
        <v>7</v>
      </c>
      <c r="B6" s="7" t="s">
        <v>8</v>
      </c>
      <c r="C6" s="8" t="n">
        <f aca="false">Coverage_strict!C13</f>
        <v>0.1</v>
      </c>
      <c r="D6" s="8" t="n">
        <f aca="false">Coverage_strict!E13</f>
        <v>0.4</v>
      </c>
    </row>
    <row r="7" customFormat="false" ht="15" hidden="false" customHeight="true" outlineLevel="0" collapsed="false">
      <c r="A7" s="6" t="s">
        <v>9</v>
      </c>
      <c r="B7" s="7" t="s">
        <v>8</v>
      </c>
      <c r="C7" s="8" t="n">
        <f aca="false">Precision_S2!E11</f>
        <v>0.625</v>
      </c>
      <c r="D7" s="8" t="n">
        <f aca="false">Precision_S3!E24</f>
        <v>0.619047619047619</v>
      </c>
    </row>
    <row r="9" customFormat="false" ht="15" hidden="false" customHeight="true" outlineLevel="0" collapsed="false">
      <c r="A9" s="4" t="s">
        <v>10</v>
      </c>
      <c r="B9" s="4"/>
      <c r="C9" s="4"/>
      <c r="D9" s="4"/>
    </row>
    <row r="10" customFormat="false" ht="15" hidden="false" customHeight="true" outlineLevel="0" collapsed="false">
      <c r="A10" s="5" t="s">
        <v>3</v>
      </c>
      <c r="B10" s="5" t="s">
        <v>4</v>
      </c>
      <c r="C10" s="5" t="s">
        <v>5</v>
      </c>
      <c r="D10" s="5" t="s">
        <v>6</v>
      </c>
    </row>
    <row r="11" customFormat="false" ht="15" hidden="false" customHeight="true" outlineLevel="0" collapsed="false">
      <c r="A11" s="6" t="s">
        <v>11</v>
      </c>
      <c r="B11" s="7" t="s">
        <v>8</v>
      </c>
      <c r="C11" s="8" t="n">
        <f aca="false">Recoverability_tree!C7</f>
        <v>0</v>
      </c>
      <c r="D11" s="8" t="n">
        <f aca="false">Recoverability_tree!C6</f>
        <v>1</v>
      </c>
    </row>
    <row r="12" customFormat="false" ht="15" hidden="false" customHeight="true" outlineLevel="0" collapsed="false">
      <c r="A12" s="6" t="s">
        <v>12</v>
      </c>
      <c r="B12" s="7" t="s">
        <v>8</v>
      </c>
      <c r="C12" s="8" t="n">
        <f aca="false">Recoverability_tree!D7</f>
        <v>0</v>
      </c>
      <c r="D12" s="8" t="n">
        <f aca="false">Recoverability_tree!D6</f>
        <v>1</v>
      </c>
    </row>
    <row r="13" customFormat="false" ht="26.25" hidden="false" customHeight="true" outlineLevel="0" collapsed="false">
      <c r="A13" s="6" t="s">
        <v>13</v>
      </c>
      <c r="B13" s="7" t="s">
        <v>8</v>
      </c>
      <c r="C13" s="8" t="n">
        <f aca="false">Recoverability_tree!E7</f>
        <v>0</v>
      </c>
      <c r="D13" s="8" t="n">
        <f aca="false">Recoverability_tree!E6</f>
        <v>1</v>
      </c>
    </row>
    <row r="14" customFormat="false" ht="15" hidden="false" customHeight="true" outlineLevel="0" collapsed="false">
      <c r="A14" s="6" t="s">
        <v>14</v>
      </c>
      <c r="B14" s="7" t="s">
        <v>8</v>
      </c>
      <c r="C14" s="8" t="n">
        <f aca="false">SIF!C8</f>
        <v>0.4</v>
      </c>
      <c r="D14" s="8" t="n">
        <f aca="false">SIF!D8</f>
        <v>1</v>
      </c>
    </row>
    <row r="16" customFormat="false" ht="15" hidden="false" customHeight="true" outlineLevel="0" collapsed="false">
      <c r="A16" s="6" t="s">
        <v>15</v>
      </c>
      <c r="B16" s="6"/>
      <c r="C16" s="6"/>
      <c r="D16" s="6"/>
    </row>
    <row r="17" customFormat="false" ht="45.75" hidden="false" customHeight="true" outlineLevel="0" collapsed="false">
      <c r="A17" s="3" t="s">
        <v>16</v>
      </c>
      <c r="B17" s="3"/>
      <c r="C17" s="3"/>
      <c r="D17" s="3"/>
    </row>
    <row r="18" customFormat="false" ht="45.75" hidden="false" customHeight="true" outlineLevel="0" collapsed="false">
      <c r="A18" s="3" t="s">
        <v>17</v>
      </c>
      <c r="B18" s="3"/>
      <c r="C18" s="3"/>
      <c r="D18" s="3"/>
    </row>
    <row r="19" customFormat="false" ht="45.75" hidden="false" customHeight="true" outlineLevel="0" collapsed="false">
      <c r="A19" s="3" t="s">
        <v>18</v>
      </c>
      <c r="B19" s="3"/>
      <c r="C19" s="3"/>
      <c r="D19" s="3"/>
    </row>
    <row r="20" customFormat="false" ht="45.75" hidden="false" customHeight="true" outlineLevel="0" collapsed="false">
      <c r="A20" s="3" t="s">
        <v>19</v>
      </c>
      <c r="B20" s="3"/>
      <c r="C20" s="3"/>
      <c r="D20" s="3"/>
    </row>
    <row r="22" customFormat="false" ht="15" hidden="false" customHeight="true" outlineLevel="0" collapsed="false">
      <c r="A22" s="6" t="s">
        <v>20</v>
      </c>
      <c r="B22" s="6"/>
      <c r="C22" s="6"/>
      <c r="D22" s="6"/>
    </row>
    <row r="23" customFormat="false" ht="57.75" hidden="false" customHeight="true" outlineLevel="0" collapsed="false">
      <c r="A23" s="3" t="s">
        <v>21</v>
      </c>
      <c r="B23" s="3"/>
      <c r="C23" s="3"/>
      <c r="D23" s="3"/>
    </row>
    <row r="24" customFormat="false" ht="57.75" hidden="false" customHeight="true" outlineLevel="0" collapsed="false">
      <c r="A24" s="3" t="s">
        <v>22</v>
      </c>
      <c r="B24" s="3"/>
      <c r="C24" s="3"/>
      <c r="D24" s="3"/>
    </row>
    <row r="25" customFormat="false" ht="57.75" hidden="false" customHeight="true" outlineLevel="0" collapsed="false">
      <c r="A25" s="3" t="s">
        <v>23</v>
      </c>
      <c r="B25" s="3"/>
      <c r="C25" s="3"/>
      <c r="D25" s="3"/>
    </row>
    <row r="27" customFormat="false" ht="108.95" hidden="false" customHeight="false" outlineLevel="0" collapsed="false">
      <c r="A27" s="9" t="s">
        <v>24</v>
      </c>
    </row>
  </sheetData>
  <mergeCells count="13">
    <mergeCell ref="A1:D1"/>
    <mergeCell ref="A2:D2"/>
    <mergeCell ref="A4:D4"/>
    <mergeCell ref="A9:D9"/>
    <mergeCell ref="A16:D16"/>
    <mergeCell ref="A17:D17"/>
    <mergeCell ref="A18:D18"/>
    <mergeCell ref="A19:D19"/>
    <mergeCell ref="A20:D20"/>
    <mergeCell ref="A22:D22"/>
    <mergeCell ref="A23:D23"/>
    <mergeCell ref="A24:D24"/>
    <mergeCell ref="A25:D25"/>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pane xSplit="0" ySplit="2" topLeftCell="A3" activePane="bottomLeft" state="frozen"/>
      <selection pane="topLeft" activeCell="A1" activeCellId="0" sqref="A1"/>
      <selection pane="bottomLeft" activeCell="D16" activeCellId="0" sqref="D16"/>
    </sheetView>
  </sheetViews>
  <sheetFormatPr defaultColWidth="8.70703125" defaultRowHeight="15"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3" min="3" style="1" width="6.01"/>
    <col collapsed="false" customWidth="true" hidden="false" outlineLevel="0" max="4" min="4" style="1" width="40"/>
    <col collapsed="false" customWidth="true" hidden="false" outlineLevel="0" max="5" min="5" style="1" width="6.01"/>
    <col collapsed="false" customWidth="true" hidden="false" outlineLevel="0" max="6" min="6" style="1" width="42"/>
  </cols>
  <sheetData>
    <row r="1" customFormat="false" ht="26.25" hidden="false" customHeight="true" outlineLevel="0" collapsed="false">
      <c r="A1" s="6" t="s">
        <v>25</v>
      </c>
      <c r="B1" s="6"/>
      <c r="C1" s="6"/>
      <c r="D1" s="6"/>
      <c r="E1" s="6"/>
      <c r="F1" s="6"/>
      <c r="G1" s="6"/>
    </row>
    <row r="2" customFormat="false" ht="15" hidden="false" customHeight="true" outlineLevel="0" collapsed="false">
      <c r="A2" s="5" t="s">
        <v>26</v>
      </c>
      <c r="B2" s="5" t="s">
        <v>27</v>
      </c>
      <c r="C2" s="5" t="s">
        <v>5</v>
      </c>
      <c r="D2" s="5" t="s">
        <v>28</v>
      </c>
      <c r="E2" s="5" t="s">
        <v>6</v>
      </c>
      <c r="F2" s="5" t="s">
        <v>29</v>
      </c>
    </row>
    <row r="3" customFormat="false" ht="23.25" hidden="false" customHeight="true" outlineLevel="0" collapsed="false">
      <c r="A3" s="10" t="s">
        <v>30</v>
      </c>
      <c r="B3" s="3" t="s">
        <v>31</v>
      </c>
      <c r="C3" s="11" t="n">
        <v>0</v>
      </c>
      <c r="D3" s="3" t="s">
        <v>32</v>
      </c>
      <c r="E3" s="12" t="n">
        <v>1</v>
      </c>
      <c r="F3" s="3" t="s">
        <v>33</v>
      </c>
    </row>
    <row r="4" customFormat="false" ht="15" hidden="false" customHeight="true" outlineLevel="0" collapsed="false">
      <c r="A4" s="10" t="s">
        <v>34</v>
      </c>
      <c r="B4" s="3" t="s">
        <v>35</v>
      </c>
      <c r="C4" s="12" t="n">
        <v>1</v>
      </c>
      <c r="D4" s="3" t="s">
        <v>36</v>
      </c>
      <c r="E4" s="12" t="n">
        <v>1</v>
      </c>
      <c r="F4" s="3" t="s">
        <v>37</v>
      </c>
    </row>
    <row r="5" customFormat="false" ht="23.25" hidden="false" customHeight="true" outlineLevel="0" collapsed="false">
      <c r="A5" s="10" t="s">
        <v>38</v>
      </c>
      <c r="B5" s="3" t="s">
        <v>39</v>
      </c>
      <c r="C5" s="11" t="n">
        <v>0</v>
      </c>
      <c r="D5" s="3" t="s">
        <v>40</v>
      </c>
      <c r="E5" s="12" t="n">
        <v>1</v>
      </c>
      <c r="F5" s="3" t="s">
        <v>41</v>
      </c>
    </row>
    <row r="6" customFormat="false" ht="23.25" hidden="false" customHeight="true" outlineLevel="0" collapsed="false">
      <c r="A6" s="10" t="s">
        <v>42</v>
      </c>
      <c r="B6" s="3" t="s">
        <v>43</v>
      </c>
      <c r="C6" s="11" t="n">
        <v>0</v>
      </c>
      <c r="D6" s="3" t="s">
        <v>44</v>
      </c>
      <c r="E6" s="12" t="n">
        <v>1</v>
      </c>
      <c r="F6" s="3" t="s">
        <v>45</v>
      </c>
    </row>
    <row r="7" customFormat="false" ht="15" hidden="false" customHeight="true" outlineLevel="0" collapsed="false">
      <c r="A7" s="10" t="s">
        <v>46</v>
      </c>
      <c r="B7" s="3" t="s">
        <v>47</v>
      </c>
      <c r="C7" s="11" t="n">
        <v>0</v>
      </c>
      <c r="D7" s="3" t="s">
        <v>48</v>
      </c>
      <c r="E7" s="11" t="n">
        <v>0</v>
      </c>
      <c r="F7" s="3" t="s">
        <v>49</v>
      </c>
    </row>
    <row r="8" customFormat="false" ht="15" hidden="false" customHeight="true" outlineLevel="0" collapsed="false">
      <c r="A8" s="10" t="s">
        <v>50</v>
      </c>
      <c r="B8" s="3" t="s">
        <v>51</v>
      </c>
      <c r="C8" s="11" t="n">
        <v>0</v>
      </c>
      <c r="D8" s="3" t="s">
        <v>48</v>
      </c>
      <c r="E8" s="11" t="n">
        <v>0</v>
      </c>
      <c r="F8" s="3" t="s">
        <v>52</v>
      </c>
    </row>
    <row r="9" customFormat="false" ht="23.25" hidden="false" customHeight="true" outlineLevel="0" collapsed="false">
      <c r="A9" s="10" t="s">
        <v>53</v>
      </c>
      <c r="B9" s="3" t="s">
        <v>54</v>
      </c>
      <c r="C9" s="11" t="n">
        <v>0</v>
      </c>
      <c r="D9" s="3" t="s">
        <v>55</v>
      </c>
      <c r="E9" s="11" t="n">
        <v>0</v>
      </c>
      <c r="F9" s="3" t="s">
        <v>56</v>
      </c>
    </row>
    <row r="10" customFormat="false" ht="23.25" hidden="false" customHeight="true" outlineLevel="0" collapsed="false">
      <c r="A10" s="10" t="s">
        <v>57</v>
      </c>
      <c r="B10" s="3" t="s">
        <v>58</v>
      </c>
      <c r="C10" s="11" t="n">
        <v>0</v>
      </c>
      <c r="D10" s="3" t="s">
        <v>59</v>
      </c>
      <c r="E10" s="11" t="n">
        <v>0</v>
      </c>
      <c r="F10" s="3" t="s">
        <v>60</v>
      </c>
    </row>
    <row r="11" customFormat="false" ht="15" hidden="false" customHeight="true" outlineLevel="0" collapsed="false">
      <c r="A11" s="10" t="s">
        <v>61</v>
      </c>
      <c r="B11" s="3" t="s">
        <v>62</v>
      </c>
      <c r="C11" s="11" t="n">
        <v>0</v>
      </c>
      <c r="D11" s="3" t="s">
        <v>63</v>
      </c>
      <c r="E11" s="11" t="n">
        <v>0</v>
      </c>
      <c r="F11" s="3" t="s">
        <v>64</v>
      </c>
    </row>
    <row r="12" customFormat="false" ht="23.25" hidden="false" customHeight="true" outlineLevel="0" collapsed="false">
      <c r="A12" s="10" t="s">
        <v>65</v>
      </c>
      <c r="B12" s="3" t="s">
        <v>66</v>
      </c>
      <c r="C12" s="11" t="n">
        <v>0</v>
      </c>
      <c r="D12" s="3" t="s">
        <v>67</v>
      </c>
      <c r="E12" s="11" t="n">
        <v>0</v>
      </c>
      <c r="F12" s="3" t="s">
        <v>67</v>
      </c>
    </row>
    <row r="13" customFormat="false" ht="15" hidden="false" customHeight="true" outlineLevel="0" collapsed="false">
      <c r="B13" s="13" t="s">
        <v>68</v>
      </c>
      <c r="C13" s="13" t="n">
        <f aca="false">AVERAGE(C3:C12)</f>
        <v>0.1</v>
      </c>
      <c r="E13" s="13" t="n">
        <f aca="false">AVERAGE(E3:E12)</f>
        <v>0.4</v>
      </c>
    </row>
  </sheetData>
  <mergeCells count="1">
    <mergeCell ref="A1:G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0" ySplit="2" topLeftCell="A3" activePane="bottomLeft" state="frozen"/>
      <selection pane="topLeft" activeCell="A1" activeCellId="0" sqref="A1"/>
      <selection pane="bottomLeft" activeCell="A2" activeCellId="0" sqref="A2"/>
    </sheetView>
  </sheetViews>
  <sheetFormatPr defaultColWidth="8.70703125" defaultRowHeight="15" zeroHeight="false" outlineLevelRow="0" outlineLevelCol="0"/>
  <cols>
    <col collapsed="false" customWidth="true" hidden="false" outlineLevel="0" max="1" min="1" style="1" width="11.99"/>
    <col collapsed="false" customWidth="true" hidden="false" outlineLevel="0" max="2" min="2" style="1" width="34"/>
    <col collapsed="false" customWidth="true" hidden="false" outlineLevel="0" max="3" min="3" style="1" width="14.01"/>
    <col collapsed="false" customWidth="true" hidden="false" outlineLevel="0" max="5" min="4" style="1" width="9"/>
    <col collapsed="false" customWidth="true" hidden="false" outlineLevel="0" max="6" min="6" style="1" width="30.02"/>
  </cols>
  <sheetData>
    <row r="1" customFormat="false" ht="39" hidden="false" customHeight="true" outlineLevel="0" collapsed="false">
      <c r="A1" s="6" t="s">
        <v>69</v>
      </c>
      <c r="B1" s="6"/>
      <c r="C1" s="6"/>
      <c r="D1" s="6"/>
      <c r="E1" s="6"/>
      <c r="F1" s="6"/>
      <c r="G1" s="6"/>
    </row>
    <row r="2" customFormat="false" ht="26.25" hidden="false" customHeight="true" outlineLevel="0" collapsed="false">
      <c r="A2" s="5" t="s">
        <v>70</v>
      </c>
      <c r="B2" s="5" t="s">
        <v>71</v>
      </c>
      <c r="C2" s="5" t="s">
        <v>72</v>
      </c>
      <c r="D2" s="5" t="s">
        <v>73</v>
      </c>
      <c r="E2" s="5" t="s">
        <v>74</v>
      </c>
      <c r="F2" s="5" t="s">
        <v>75</v>
      </c>
    </row>
    <row r="3" customFormat="false" ht="34.5" hidden="false" customHeight="true" outlineLevel="0" collapsed="false">
      <c r="A3" s="10" t="s">
        <v>76</v>
      </c>
      <c r="B3" s="3" t="s">
        <v>77</v>
      </c>
      <c r="C3" s="3" t="s">
        <v>78</v>
      </c>
      <c r="D3" s="14" t="n">
        <v>0.5</v>
      </c>
      <c r="E3" s="7" t="n">
        <v>0</v>
      </c>
      <c r="F3" s="3" t="s">
        <v>79</v>
      </c>
    </row>
    <row r="4" customFormat="false" ht="23.25" hidden="false" customHeight="true" outlineLevel="0" collapsed="false">
      <c r="A4" s="10" t="s">
        <v>80</v>
      </c>
      <c r="B4" s="3" t="s">
        <v>81</v>
      </c>
      <c r="C4" s="3" t="s">
        <v>82</v>
      </c>
      <c r="D4" s="14" t="n">
        <v>1</v>
      </c>
      <c r="E4" s="7" t="n">
        <v>1</v>
      </c>
      <c r="F4" s="3" t="s">
        <v>83</v>
      </c>
    </row>
    <row r="5" customFormat="false" ht="23.25" hidden="false" customHeight="true" outlineLevel="0" collapsed="false">
      <c r="A5" s="10" t="s">
        <v>84</v>
      </c>
      <c r="B5" s="3" t="s">
        <v>85</v>
      </c>
      <c r="C5" s="3" t="s">
        <v>86</v>
      </c>
      <c r="D5" s="14" t="n">
        <v>0.67</v>
      </c>
      <c r="E5" s="7" t="n">
        <v>0</v>
      </c>
      <c r="F5" s="3" t="s">
        <v>87</v>
      </c>
    </row>
    <row r="6" customFormat="false" ht="23.25" hidden="false" customHeight="true" outlineLevel="0" collapsed="false">
      <c r="A6" s="10" t="s">
        <v>88</v>
      </c>
      <c r="B6" s="3" t="s">
        <v>89</v>
      </c>
      <c r="C6" s="3" t="s">
        <v>90</v>
      </c>
      <c r="D6" s="14" t="n">
        <v>0.33</v>
      </c>
      <c r="E6" s="7" t="n">
        <v>0</v>
      </c>
      <c r="F6" s="3" t="s">
        <v>91</v>
      </c>
    </row>
    <row r="7" customFormat="false" ht="23.25" hidden="false" customHeight="true" outlineLevel="0" collapsed="false">
      <c r="A7" s="10" t="s">
        <v>92</v>
      </c>
      <c r="B7" s="3" t="s">
        <v>93</v>
      </c>
      <c r="C7" s="3" t="s">
        <v>94</v>
      </c>
      <c r="D7" s="14" t="n">
        <v>0.67</v>
      </c>
      <c r="E7" s="7" t="n">
        <v>0</v>
      </c>
      <c r="F7" s="3" t="s">
        <v>95</v>
      </c>
    </row>
    <row r="8" customFormat="false" ht="34.5" hidden="false" customHeight="true" outlineLevel="0" collapsed="false">
      <c r="A8" s="10" t="s">
        <v>96</v>
      </c>
      <c r="B8" s="3" t="s">
        <v>97</v>
      </c>
      <c r="C8" s="3" t="s">
        <v>98</v>
      </c>
      <c r="D8" s="14" t="n">
        <v>0.5</v>
      </c>
      <c r="E8" s="7" t="n">
        <v>0</v>
      </c>
      <c r="F8" s="3" t="s">
        <v>99</v>
      </c>
    </row>
    <row r="10" customFormat="false" ht="15" hidden="false" customHeight="true" outlineLevel="0" collapsed="false">
      <c r="A10" s="6" t="s">
        <v>100</v>
      </c>
      <c r="B10" s="6"/>
      <c r="C10" s="6"/>
      <c r="D10" s="6"/>
      <c r="E10" s="6"/>
      <c r="F10" s="6"/>
    </row>
    <row r="11" customFormat="false" ht="150" hidden="false" customHeight="true" outlineLevel="0" collapsed="false">
      <c r="A11" s="3" t="s">
        <v>101</v>
      </c>
      <c r="B11" s="3"/>
      <c r="C11" s="3"/>
      <c r="D11" s="3"/>
      <c r="E11" s="3"/>
      <c r="F11" s="3"/>
    </row>
  </sheetData>
  <mergeCells count="3">
    <mergeCell ref="A1:G1"/>
    <mergeCell ref="A10:F10"/>
    <mergeCell ref="A11:F1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0" ySplit="2" topLeftCell="A3" activePane="bottomLeft" state="frozen"/>
      <selection pane="topLeft" activeCell="A1" activeCellId="0" sqref="A1"/>
      <selection pane="bottomLeft" activeCell="F15" activeCellId="0" sqref="F15"/>
    </sheetView>
  </sheetViews>
  <sheetFormatPr defaultColWidth="8.70703125" defaultRowHeight="15" zeroHeight="false" outlineLevelRow="0" outlineLevelCol="0"/>
  <cols>
    <col collapsed="false" customWidth="true" hidden="false" outlineLevel="0" max="1" min="1" style="1" width="26"/>
    <col collapsed="false" customWidth="true" hidden="false" outlineLevel="0" max="2" min="2" style="1" width="11.99"/>
    <col collapsed="false" customWidth="true" hidden="false" outlineLevel="0" max="5" min="3" style="1" width="8"/>
    <col collapsed="false" customWidth="true" hidden="false" outlineLevel="0" max="6" min="6" style="1" width="40"/>
  </cols>
  <sheetData>
    <row r="1" customFormat="false" ht="51.75" hidden="false" customHeight="true" outlineLevel="0" collapsed="false">
      <c r="A1" s="6" t="s">
        <v>102</v>
      </c>
      <c r="B1" s="6"/>
      <c r="C1" s="6"/>
      <c r="D1" s="6"/>
      <c r="E1" s="6"/>
      <c r="F1" s="6"/>
    </row>
    <row r="2" customFormat="false" ht="26.25" hidden="false" customHeight="true" outlineLevel="0" collapsed="false">
      <c r="A2" s="5" t="s">
        <v>103</v>
      </c>
      <c r="B2" s="5" t="s">
        <v>104</v>
      </c>
      <c r="C2" s="5" t="s">
        <v>105</v>
      </c>
      <c r="D2" s="5" t="s">
        <v>106</v>
      </c>
      <c r="E2" s="5" t="s">
        <v>107</v>
      </c>
      <c r="F2" s="5" t="s">
        <v>108</v>
      </c>
    </row>
    <row r="3" customFormat="false" ht="23.25" hidden="false" customHeight="true" outlineLevel="0" collapsed="false">
      <c r="A3" s="6" t="s">
        <v>109</v>
      </c>
      <c r="B3" s="7" t="n">
        <v>1</v>
      </c>
      <c r="C3" s="12" t="n">
        <v>1</v>
      </c>
      <c r="D3" s="12" t="n">
        <v>1</v>
      </c>
      <c r="E3" s="12" t="n">
        <v>1</v>
      </c>
      <c r="F3" s="3" t="s">
        <v>110</v>
      </c>
    </row>
    <row r="4" customFormat="false" ht="34.5" hidden="false" customHeight="true" outlineLevel="0" collapsed="false">
      <c r="A4" s="6" t="s">
        <v>111</v>
      </c>
      <c r="B4" s="7" t="n">
        <v>7</v>
      </c>
      <c r="C4" s="12" t="n">
        <v>1</v>
      </c>
      <c r="D4" s="12" t="n">
        <v>1</v>
      </c>
      <c r="E4" s="12" t="n">
        <v>1</v>
      </c>
      <c r="F4" s="3" t="s">
        <v>112</v>
      </c>
    </row>
    <row r="5" customFormat="false" ht="15" hidden="false" customHeight="true" outlineLevel="0" collapsed="false">
      <c r="A5" s="6" t="s">
        <v>113</v>
      </c>
      <c r="B5" s="7" t="n">
        <v>8</v>
      </c>
      <c r="C5" s="12" t="n">
        <v>1</v>
      </c>
      <c r="D5" s="12" t="n">
        <v>1</v>
      </c>
      <c r="E5" s="12" t="n">
        <v>1</v>
      </c>
      <c r="F5" s="3" t="s">
        <v>114</v>
      </c>
    </row>
    <row r="6" customFormat="false" ht="34.5" hidden="false" customHeight="true" outlineLevel="0" collapsed="false">
      <c r="A6" s="15" t="s">
        <v>115</v>
      </c>
      <c r="B6" s="15" t="n">
        <v>16</v>
      </c>
      <c r="C6" s="15" t="n">
        <f aca="false">SUMPRODUCT(B3:B5,C3:C5)/SUM(B3:B5)</f>
        <v>1</v>
      </c>
      <c r="D6" s="15" t="n">
        <f aca="false">SUMPRODUCT(B3:B5,D3:D5)/SUM(B3:B5)</f>
        <v>1</v>
      </c>
      <c r="E6" s="15" t="n">
        <f aca="false">SUMPRODUCT(B3:B5,E3:E5)/SUM(B3:B5)</f>
        <v>1</v>
      </c>
      <c r="F6" s="3" t="s">
        <v>116</v>
      </c>
    </row>
    <row r="7" customFormat="false" ht="23.25" hidden="false" customHeight="true" outlineLevel="0" collapsed="false">
      <c r="A7" s="16" t="s">
        <v>117</v>
      </c>
      <c r="B7" s="11" t="s">
        <v>118</v>
      </c>
      <c r="C7" s="16" t="n">
        <v>0</v>
      </c>
      <c r="D7" s="16" t="n">
        <v>0</v>
      </c>
      <c r="E7" s="16" t="n">
        <v>0</v>
      </c>
      <c r="F7" s="3" t="s">
        <v>119</v>
      </c>
    </row>
  </sheetData>
  <mergeCells count="1">
    <mergeCell ref="A1:F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0703125" defaultRowHeight="15" zeroHeight="false" outlineLevelRow="0" outlineLevelCol="0"/>
  <cols>
    <col collapsed="false" customWidth="true" hidden="false" outlineLevel="0" max="1" min="1" style="1" width="24"/>
    <col collapsed="false" customWidth="true" hidden="false" outlineLevel="0" max="4" min="2" style="1" width="7"/>
    <col collapsed="false" customWidth="true" hidden="false" outlineLevel="0" max="5" min="5" style="1" width="66"/>
  </cols>
  <sheetData>
    <row r="1" customFormat="false" ht="26.25" hidden="false" customHeight="true" outlineLevel="0" collapsed="false">
      <c r="A1" s="6" t="s">
        <v>120</v>
      </c>
      <c r="B1" s="6"/>
      <c r="C1" s="6"/>
      <c r="D1" s="6"/>
      <c r="E1" s="6"/>
    </row>
    <row r="2" customFormat="false" ht="15" hidden="false" customHeight="true" outlineLevel="0" collapsed="false">
      <c r="A2" s="5" t="s">
        <v>121</v>
      </c>
      <c r="B2" s="5" t="s">
        <v>4</v>
      </c>
      <c r="C2" s="5" t="s">
        <v>5</v>
      </c>
      <c r="D2" s="5" t="s">
        <v>6</v>
      </c>
      <c r="E2" s="5" t="s">
        <v>108</v>
      </c>
    </row>
    <row r="3" customFormat="false" ht="15" hidden="false" customHeight="true" outlineLevel="0" collapsed="false">
      <c r="A3" s="6" t="s">
        <v>122</v>
      </c>
      <c r="B3" s="7" t="n">
        <v>1</v>
      </c>
      <c r="C3" s="7" t="n">
        <v>0.5</v>
      </c>
      <c r="D3" s="7" t="n">
        <v>1</v>
      </c>
      <c r="E3" s="3" t="s">
        <v>123</v>
      </c>
    </row>
    <row r="4" customFormat="false" ht="15" hidden="false" customHeight="true" outlineLevel="0" collapsed="false">
      <c r="A4" s="6" t="s">
        <v>124</v>
      </c>
      <c r="B4" s="7" t="n">
        <v>1</v>
      </c>
      <c r="C4" s="7" t="n">
        <v>0.5</v>
      </c>
      <c r="D4" s="7" t="n">
        <v>1</v>
      </c>
      <c r="E4" s="3" t="s">
        <v>125</v>
      </c>
    </row>
    <row r="5" customFormat="false" ht="15" hidden="false" customHeight="true" outlineLevel="0" collapsed="false">
      <c r="A5" s="6" t="s">
        <v>126</v>
      </c>
      <c r="B5" s="7" t="n">
        <v>1</v>
      </c>
      <c r="C5" s="7" t="n">
        <v>1</v>
      </c>
      <c r="D5" s="7" t="n">
        <v>1</v>
      </c>
      <c r="E5" s="3" t="s">
        <v>127</v>
      </c>
    </row>
    <row r="6" customFormat="false" ht="15" hidden="false" customHeight="true" outlineLevel="0" collapsed="false">
      <c r="A6" s="6" t="s">
        <v>128</v>
      </c>
      <c r="B6" s="7" t="n">
        <v>1</v>
      </c>
      <c r="C6" s="7" t="n">
        <v>0</v>
      </c>
      <c r="D6" s="7" t="n">
        <v>1</v>
      </c>
      <c r="E6" s="3" t="s">
        <v>129</v>
      </c>
    </row>
    <row r="7" customFormat="false" ht="15" hidden="false" customHeight="true" outlineLevel="0" collapsed="false">
      <c r="A7" s="6" t="s">
        <v>130</v>
      </c>
      <c r="B7" s="7" t="n">
        <v>1</v>
      </c>
      <c r="C7" s="7" t="n">
        <v>0</v>
      </c>
      <c r="D7" s="7" t="n">
        <v>1</v>
      </c>
      <c r="E7" s="3" t="s">
        <v>131</v>
      </c>
    </row>
    <row r="8" customFormat="false" ht="15" hidden="false" customHeight="true" outlineLevel="0" collapsed="false">
      <c r="A8" s="13" t="s">
        <v>132</v>
      </c>
      <c r="B8" s="13" t="n">
        <f aca="false">AVERAGE(B3:B7)</f>
        <v>1</v>
      </c>
      <c r="C8" s="13" t="n">
        <f aca="false">AVERAGE(C3:C7)</f>
        <v>0.4</v>
      </c>
      <c r="D8" s="13" t="n">
        <f aca="false">AVERAGE(D3:D7)</f>
        <v>1</v>
      </c>
    </row>
  </sheetData>
  <mergeCells count="1">
    <mergeCell ref="A1:E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9" activeCellId="0" sqref="A9"/>
    </sheetView>
  </sheetViews>
  <sheetFormatPr defaultColWidth="8.7070312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30.02"/>
    <col collapsed="false" customWidth="true" hidden="false" outlineLevel="0" max="4" min="4" style="0" width="11.99"/>
    <col collapsed="false" customWidth="true" hidden="false" outlineLevel="0" max="5" min="5" style="0" width="10"/>
  </cols>
  <sheetData>
    <row r="1" customFormat="false" ht="179.1" hidden="false" customHeight="false" outlineLevel="0" collapsed="false">
      <c r="A1" s="17" t="s">
        <v>133</v>
      </c>
    </row>
    <row r="2" customFormat="false" ht="15" hidden="false" customHeight="false" outlineLevel="0" collapsed="false">
      <c r="A2" s="18" t="s">
        <v>134</v>
      </c>
      <c r="B2" s="18" t="s">
        <v>135</v>
      </c>
      <c r="C2" s="18" t="s">
        <v>136</v>
      </c>
      <c r="D2" s="18" t="s">
        <v>137</v>
      </c>
      <c r="E2" s="18" t="s">
        <v>138</v>
      </c>
    </row>
    <row r="3" customFormat="false" ht="15" hidden="false" customHeight="false" outlineLevel="0" collapsed="false">
      <c r="A3" s="0" t="s">
        <v>139</v>
      </c>
      <c r="B3" s="9" t="s">
        <v>140</v>
      </c>
      <c r="C3" s="9" t="s">
        <v>141</v>
      </c>
      <c r="D3" s="0" t="s">
        <v>142</v>
      </c>
      <c r="E3" s="0" t="n">
        <v>1</v>
      </c>
    </row>
    <row r="4" customFormat="false" ht="15" hidden="false" customHeight="false" outlineLevel="0" collapsed="false">
      <c r="A4" s="0" t="s">
        <v>143</v>
      </c>
      <c r="B4" s="9" t="s">
        <v>144</v>
      </c>
      <c r="C4" s="9" t="s">
        <v>145</v>
      </c>
      <c r="D4" s="0" t="s">
        <v>142</v>
      </c>
      <c r="E4" s="0" t="n">
        <v>1</v>
      </c>
    </row>
    <row r="5" customFormat="false" ht="15" hidden="false" customHeight="false" outlineLevel="0" collapsed="false">
      <c r="A5" s="0" t="s">
        <v>146</v>
      </c>
      <c r="B5" s="9" t="s">
        <v>147</v>
      </c>
      <c r="C5" s="9" t="s">
        <v>148</v>
      </c>
      <c r="D5" s="0" t="s">
        <v>142</v>
      </c>
      <c r="E5" s="0" t="n">
        <v>1</v>
      </c>
    </row>
    <row r="6" customFormat="false" ht="15" hidden="false" customHeight="false" outlineLevel="0" collapsed="false">
      <c r="A6" s="0" t="s">
        <v>149</v>
      </c>
      <c r="B6" s="9" t="s">
        <v>150</v>
      </c>
      <c r="C6" s="9" t="s">
        <v>151</v>
      </c>
      <c r="D6" s="0" t="s">
        <v>142</v>
      </c>
      <c r="E6" s="0" t="n">
        <v>1</v>
      </c>
    </row>
    <row r="7" customFormat="false" ht="15" hidden="false" customHeight="false" outlineLevel="0" collapsed="false">
      <c r="A7" s="0" t="s">
        <v>152</v>
      </c>
      <c r="B7" s="9" t="s">
        <v>153</v>
      </c>
      <c r="C7" s="9" t="s">
        <v>154</v>
      </c>
      <c r="D7" s="0" t="s">
        <v>155</v>
      </c>
      <c r="E7" s="0" t="n">
        <v>0</v>
      </c>
    </row>
    <row r="8" customFormat="false" ht="15" hidden="false" customHeight="false" outlineLevel="0" collapsed="false">
      <c r="A8" s="0" t="s">
        <v>156</v>
      </c>
      <c r="B8" s="9" t="s">
        <v>157</v>
      </c>
      <c r="C8" s="9" t="s">
        <v>154</v>
      </c>
      <c r="D8" s="0" t="s">
        <v>155</v>
      </c>
      <c r="E8" s="0" t="n">
        <v>0</v>
      </c>
    </row>
    <row r="9" customFormat="false" ht="15" hidden="false" customHeight="false" outlineLevel="0" collapsed="false">
      <c r="A9" s="0" t="s">
        <v>158</v>
      </c>
      <c r="B9" s="9" t="s">
        <v>159</v>
      </c>
      <c r="C9" s="9" t="s">
        <v>154</v>
      </c>
      <c r="D9" s="0" t="s">
        <v>155</v>
      </c>
      <c r="E9" s="0" t="n">
        <v>0</v>
      </c>
    </row>
    <row r="10" customFormat="false" ht="15" hidden="false" customHeight="false" outlineLevel="0" collapsed="false">
      <c r="A10" s="0" t="s">
        <v>160</v>
      </c>
      <c r="B10" s="9" t="s">
        <v>161</v>
      </c>
      <c r="C10" s="9" t="s">
        <v>162</v>
      </c>
      <c r="D10" s="0" t="s">
        <v>142</v>
      </c>
      <c r="E10" s="0" t="n">
        <v>1</v>
      </c>
    </row>
    <row r="11" customFormat="false" ht="15" hidden="false" customHeight="false" outlineLevel="0" collapsed="false">
      <c r="A11" s="19" t="s">
        <v>163</v>
      </c>
      <c r="E11" s="20" t="n">
        <f aca="false">AVERAGE(E3:E10)</f>
        <v>0.625</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40" colorId="64" zoomScale="160" zoomScaleNormal="160" zoomScalePageLayoutView="100" workbookViewId="0">
      <selection pane="topLeft" activeCell="C35" activeCellId="0" sqref="C35"/>
    </sheetView>
  </sheetViews>
  <sheetFormatPr defaultColWidth="8.70703125" defaultRowHeight="15" zeroHeight="false" outlineLevelRow="0" outlineLevelCol="0"/>
  <cols>
    <col collapsed="false" customWidth="true" hidden="false" outlineLevel="0" max="1" min="1" style="0" width="10"/>
    <col collapsed="false" customWidth="true" hidden="false" outlineLevel="0" max="2" min="2" style="0" width="11.99"/>
    <col collapsed="false" customWidth="true" hidden="false" outlineLevel="0" max="3" min="3" style="0" width="40"/>
    <col collapsed="false" customWidth="true" hidden="false" outlineLevel="0" max="4" min="4" style="0" width="11.99"/>
    <col collapsed="false" customWidth="true" hidden="false" outlineLevel="0" max="5" min="5" style="0" width="10"/>
  </cols>
  <sheetData>
    <row r="1" customFormat="false" ht="13.8" hidden="false" customHeight="false" outlineLevel="0" collapsed="false">
      <c r="A1" s="17"/>
    </row>
    <row r="2" customFormat="false" ht="15" hidden="false" customHeight="false" outlineLevel="0" collapsed="false">
      <c r="A2" s="18" t="s">
        <v>164</v>
      </c>
      <c r="B2" s="18" t="s">
        <v>165</v>
      </c>
      <c r="C2" s="18" t="s">
        <v>166</v>
      </c>
      <c r="D2" s="18" t="s">
        <v>137</v>
      </c>
      <c r="E2" s="18" t="s">
        <v>138</v>
      </c>
    </row>
    <row r="3" customFormat="false" ht="15" hidden="false" customHeight="false" outlineLevel="0" collapsed="false">
      <c r="A3" s="0" t="s">
        <v>167</v>
      </c>
      <c r="B3" s="0" t="s">
        <v>168</v>
      </c>
      <c r="C3" s="9" t="s">
        <v>169</v>
      </c>
      <c r="D3" s="0" t="s">
        <v>142</v>
      </c>
      <c r="E3" s="0" t="n">
        <v>1</v>
      </c>
    </row>
    <row r="4" customFormat="false" ht="15" hidden="false" customHeight="false" outlineLevel="0" collapsed="false">
      <c r="A4" s="0" t="s">
        <v>170</v>
      </c>
      <c r="B4" s="0" t="s">
        <v>168</v>
      </c>
      <c r="C4" s="9" t="s">
        <v>171</v>
      </c>
      <c r="D4" s="0" t="s">
        <v>142</v>
      </c>
      <c r="E4" s="0" t="n">
        <v>1</v>
      </c>
    </row>
    <row r="5" customFormat="false" ht="15" hidden="false" customHeight="false" outlineLevel="0" collapsed="false">
      <c r="A5" s="0" t="s">
        <v>172</v>
      </c>
      <c r="B5" s="0" t="s">
        <v>168</v>
      </c>
      <c r="C5" s="9" t="s">
        <v>173</v>
      </c>
      <c r="D5" s="0" t="s">
        <v>142</v>
      </c>
      <c r="E5" s="0" t="n">
        <v>1</v>
      </c>
    </row>
    <row r="6" customFormat="false" ht="15" hidden="false" customHeight="false" outlineLevel="0" collapsed="false">
      <c r="A6" s="0" t="s">
        <v>174</v>
      </c>
      <c r="B6" s="0" t="s">
        <v>168</v>
      </c>
      <c r="C6" s="9" t="s">
        <v>175</v>
      </c>
      <c r="D6" s="0" t="s">
        <v>142</v>
      </c>
      <c r="E6" s="0" t="n">
        <v>1</v>
      </c>
    </row>
    <row r="7" customFormat="false" ht="15" hidden="false" customHeight="false" outlineLevel="0" collapsed="false">
      <c r="A7" s="0" t="s">
        <v>176</v>
      </c>
      <c r="B7" s="0" t="s">
        <v>177</v>
      </c>
      <c r="C7" s="9" t="s">
        <v>178</v>
      </c>
      <c r="D7" s="0" t="s">
        <v>142</v>
      </c>
      <c r="E7" s="0" t="n">
        <v>1</v>
      </c>
    </row>
    <row r="8" customFormat="false" ht="15" hidden="false" customHeight="false" outlineLevel="0" collapsed="false">
      <c r="A8" s="0" t="s">
        <v>179</v>
      </c>
      <c r="B8" s="0" t="s">
        <v>180</v>
      </c>
      <c r="C8" s="9" t="s">
        <v>181</v>
      </c>
      <c r="D8" s="0" t="s">
        <v>142</v>
      </c>
      <c r="E8" s="0" t="n">
        <v>1</v>
      </c>
    </row>
    <row r="9" customFormat="false" ht="15" hidden="false" customHeight="false" outlineLevel="0" collapsed="false">
      <c r="A9" s="0" t="s">
        <v>182</v>
      </c>
      <c r="B9" s="0" t="s">
        <v>183</v>
      </c>
      <c r="C9" s="9" t="s">
        <v>184</v>
      </c>
      <c r="D9" s="0" t="s">
        <v>142</v>
      </c>
      <c r="E9" s="0" t="n">
        <v>1</v>
      </c>
    </row>
    <row r="10" customFormat="false" ht="15" hidden="false" customHeight="false" outlineLevel="0" collapsed="false">
      <c r="A10" s="0" t="s">
        <v>185</v>
      </c>
      <c r="B10" s="0" t="s">
        <v>186</v>
      </c>
      <c r="C10" s="9" t="s">
        <v>187</v>
      </c>
      <c r="D10" s="0" t="s">
        <v>142</v>
      </c>
      <c r="E10" s="0" t="n">
        <v>1</v>
      </c>
    </row>
    <row r="11" customFormat="false" ht="15" hidden="false" customHeight="false" outlineLevel="0" collapsed="false">
      <c r="A11" s="0" t="s">
        <v>188</v>
      </c>
      <c r="B11" s="0" t="s">
        <v>186</v>
      </c>
      <c r="C11" s="9" t="s">
        <v>189</v>
      </c>
      <c r="D11" s="0" t="s">
        <v>142</v>
      </c>
      <c r="E11" s="0" t="n">
        <v>1</v>
      </c>
    </row>
    <row r="12" customFormat="false" ht="15" hidden="false" customHeight="false" outlineLevel="0" collapsed="false">
      <c r="A12" s="0" t="s">
        <v>190</v>
      </c>
      <c r="B12" s="0" t="s">
        <v>186</v>
      </c>
      <c r="C12" s="9" t="s">
        <v>191</v>
      </c>
      <c r="D12" s="0" t="s">
        <v>142</v>
      </c>
      <c r="E12" s="0" t="n">
        <v>1</v>
      </c>
    </row>
    <row r="13" customFormat="false" ht="15" hidden="false" customHeight="false" outlineLevel="0" collapsed="false">
      <c r="A13" s="0" t="s">
        <v>192</v>
      </c>
      <c r="B13" s="0" t="s">
        <v>193</v>
      </c>
      <c r="C13" s="9" t="s">
        <v>194</v>
      </c>
      <c r="D13" s="0" t="s">
        <v>142</v>
      </c>
      <c r="E13" s="0" t="n">
        <v>1</v>
      </c>
    </row>
    <row r="14" customFormat="false" ht="15" hidden="false" customHeight="false" outlineLevel="0" collapsed="false">
      <c r="A14" s="0" t="s">
        <v>195</v>
      </c>
      <c r="B14" s="0" t="s">
        <v>193</v>
      </c>
      <c r="C14" s="9" t="s">
        <v>196</v>
      </c>
      <c r="D14" s="0" t="s">
        <v>142</v>
      </c>
      <c r="E14" s="0" t="n">
        <v>1</v>
      </c>
    </row>
    <row r="15" customFormat="false" ht="15" hidden="false" customHeight="false" outlineLevel="0" collapsed="false">
      <c r="A15" s="0" t="s">
        <v>197</v>
      </c>
      <c r="B15" s="0" t="s">
        <v>198</v>
      </c>
      <c r="C15" s="9" t="s">
        <v>199</v>
      </c>
      <c r="D15" s="0" t="s">
        <v>142</v>
      </c>
      <c r="E15" s="0" t="n">
        <v>1</v>
      </c>
    </row>
    <row r="16" customFormat="false" ht="15" hidden="false" customHeight="false" outlineLevel="0" collapsed="false">
      <c r="A16" s="0" t="s">
        <v>200</v>
      </c>
      <c r="B16" s="0" t="s">
        <v>201</v>
      </c>
      <c r="C16" s="9" t="s">
        <v>202</v>
      </c>
      <c r="D16" s="0" t="s">
        <v>155</v>
      </c>
      <c r="E16" s="0" t="n">
        <v>0</v>
      </c>
    </row>
    <row r="17" customFormat="false" ht="15" hidden="false" customHeight="false" outlineLevel="0" collapsed="false">
      <c r="A17" s="0" t="s">
        <v>203</v>
      </c>
      <c r="B17" s="0" t="s">
        <v>204</v>
      </c>
      <c r="C17" s="9" t="s">
        <v>205</v>
      </c>
      <c r="D17" s="0" t="s">
        <v>155</v>
      </c>
      <c r="E17" s="0" t="n">
        <v>0</v>
      </c>
    </row>
    <row r="18" customFormat="false" ht="15" hidden="false" customHeight="false" outlineLevel="0" collapsed="false">
      <c r="A18" s="0" t="s">
        <v>206</v>
      </c>
      <c r="B18" s="0" t="s">
        <v>193</v>
      </c>
      <c r="C18" s="9" t="s">
        <v>207</v>
      </c>
      <c r="D18" s="0" t="s">
        <v>155</v>
      </c>
      <c r="E18" s="0" t="n">
        <v>0</v>
      </c>
    </row>
    <row r="19" customFormat="false" ht="15" hidden="false" customHeight="false" outlineLevel="0" collapsed="false">
      <c r="A19" s="0" t="s">
        <v>208</v>
      </c>
      <c r="B19" s="0" t="s">
        <v>209</v>
      </c>
      <c r="C19" s="9" t="s">
        <v>210</v>
      </c>
      <c r="D19" s="0" t="s">
        <v>155</v>
      </c>
      <c r="E19" s="0" t="n">
        <v>0</v>
      </c>
    </row>
    <row r="20" customFormat="false" ht="15" hidden="false" customHeight="false" outlineLevel="0" collapsed="false">
      <c r="A20" s="0" t="s">
        <v>211</v>
      </c>
      <c r="B20" s="0" t="s">
        <v>204</v>
      </c>
      <c r="C20" s="9" t="s">
        <v>205</v>
      </c>
      <c r="D20" s="0" t="s">
        <v>155</v>
      </c>
      <c r="E20" s="0" t="n">
        <v>0</v>
      </c>
    </row>
    <row r="21" customFormat="false" ht="15" hidden="false" customHeight="false" outlineLevel="0" collapsed="false">
      <c r="A21" s="0" t="s">
        <v>212</v>
      </c>
      <c r="B21" s="0" t="s">
        <v>193</v>
      </c>
      <c r="C21" s="9" t="s">
        <v>213</v>
      </c>
      <c r="D21" s="0" t="s">
        <v>155</v>
      </c>
      <c r="E21" s="0" t="n">
        <v>0</v>
      </c>
    </row>
    <row r="22" customFormat="false" ht="15" hidden="false" customHeight="false" outlineLevel="0" collapsed="false">
      <c r="A22" s="0" t="s">
        <v>214</v>
      </c>
      <c r="B22" s="0" t="s">
        <v>215</v>
      </c>
      <c r="C22" s="9" t="s">
        <v>216</v>
      </c>
      <c r="D22" s="0" t="s">
        <v>155</v>
      </c>
      <c r="E22" s="0" t="n">
        <v>0</v>
      </c>
    </row>
    <row r="23" customFormat="false" ht="15" hidden="false" customHeight="false" outlineLevel="0" collapsed="false">
      <c r="A23" s="0" t="s">
        <v>217</v>
      </c>
      <c r="B23" s="0" t="s">
        <v>204</v>
      </c>
      <c r="C23" s="9" t="s">
        <v>205</v>
      </c>
      <c r="D23" s="0" t="s">
        <v>155</v>
      </c>
      <c r="E23" s="0" t="n">
        <v>0</v>
      </c>
    </row>
    <row r="24" customFormat="false" ht="15" hidden="false" customHeight="false" outlineLevel="0" collapsed="false">
      <c r="A24" s="19" t="s">
        <v>218</v>
      </c>
      <c r="E24" s="20" t="n">
        <f aca="false">AVERAGE(E3:E23)</f>
        <v>0.619047619047619</v>
      </c>
    </row>
    <row r="28" customFormat="false" ht="13.8" hidden="false" customHeight="false" outlineLevel="0" collapsed="false">
      <c r="A28" s="21" t="s">
        <v>219</v>
      </c>
      <c r="B28" s="21"/>
      <c r="C28" s="21"/>
      <c r="D28" s="21"/>
      <c r="E28" s="21"/>
    </row>
    <row r="29" customFormat="false" ht="13.8" hidden="false" customHeight="false" outlineLevel="0" collapsed="false">
      <c r="A29" s="21"/>
      <c r="B29" s="21"/>
      <c r="C29" s="21"/>
      <c r="D29" s="21"/>
      <c r="E29" s="21"/>
    </row>
    <row r="30" customFormat="false" ht="13.8" hidden="false" customHeight="false" outlineLevel="0" collapsed="false">
      <c r="A30" s="21"/>
      <c r="B30" s="21"/>
      <c r="C30" s="21"/>
      <c r="D30" s="21"/>
      <c r="E30" s="21"/>
    </row>
    <row r="31" customFormat="false" ht="13.8" hidden="false" customHeight="false" outlineLevel="0" collapsed="false">
      <c r="A31" s="21"/>
      <c r="B31" s="21"/>
      <c r="C31" s="21"/>
      <c r="D31" s="21"/>
      <c r="E31" s="21"/>
    </row>
    <row r="32" customFormat="false" ht="13.8" hidden="false" customHeight="false" outlineLevel="0" collapsed="false">
      <c r="A32" s="21"/>
      <c r="B32" s="21"/>
      <c r="C32" s="21"/>
      <c r="D32" s="21"/>
      <c r="E32" s="21"/>
    </row>
  </sheetData>
  <mergeCells count="1">
    <mergeCell ref="A28:E3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2026-06-27T10:38:52Z</dcterms:created>
  <dc:creator>openpyxl</dc:creator>
  <dc:description/>
  <dc:language>en-US</dc:language>
  <cp:lastModifiedBy/>
  <dcterms:modified xsi:type="dcterms:W3CDTF">2026-07-01T07:01:10Z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