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verage" sheetId="2" state="visible" r:id="rId4"/>
    <sheet name="Precision_struct" sheetId="3" state="visible" r:id="rId5"/>
    <sheet name="Precision_unstr" sheetId="4" state="visible" r:id="rId6"/>
    <sheet name="Precision_traj" sheetId="5" state="visible" r:id="rId7"/>
    <sheet name="Recoverability" sheetId="6" state="visible" r:id="rId8"/>
    <sheet name="SIF" sheetId="7" state="visible" r:id="rId9"/>
    <sheet name="SIF_detail" sheetId="8" state="visible" r:id="rId10"/>
    <sheet name="Evidence" sheetId="9" state="visible" r:id="rId11"/>
    <sheet name="Overhead" sheetId="10" state="visible" r:id="rId12"/>
    <sheet name="Run_integrity" sheetId="11" state="visible" r:id="rId13"/>
    <sheet name="Disclosures" sheetId="12" state="visible" r:id="rId14"/>
    <sheet name="Open_ruling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<sst xmlns="http://schemas.openxmlformats.org/spreadsheetml/2006/main" count="906" uniqueCount="579">
  <si>
    <t xml:space="preserve">SPINE run-2 scorecard: astropy__astropy-12907. STATUS: FINAL, revised 2026-08-08 per the 2026-08-04 meeting precision ruling (Open_rulings #12). All 12 rulings resolved.</t>
  </si>
  <si>
    <t xml:space="preserve">Three settings x two models, one shared prompt prefix, tails differ. Coverage means named, not succeeded. Manual scoring is authoritative; mechanical values are a reproducibility layer.</t>
  </si>
  <si>
    <t xml:space="preserve">Metric</t>
  </si>
  <si>
    <t xml:space="preserve">CLAUDE unstr</t>
  </si>
  <si>
    <t xml:space="preserve">CLAUDE traj</t>
  </si>
  <si>
    <t xml:space="preserve">CLAUDE struct</t>
  </si>
  <si>
    <t xml:space="preserve">GPT unstr</t>
  </si>
  <si>
    <t xml:space="preserve">GPT traj</t>
  </si>
  <si>
    <t xml:space="preserve">GPT struct</t>
  </si>
  <si>
    <t xml:space="preserve">Basis</t>
  </si>
  <si>
    <t xml:space="preserve">Recall</t>
  </si>
  <si>
    <t xml:space="preserve">mean of Coverage rows; PENDING until all six GT rows are scored</t>
  </si>
  <si>
    <t xml:space="preserve">Precision</t>
  </si>
  <si>
    <t xml:space="preserve">mean of rel over kept units, root excluded; revised 2026-08-08 per meeting ruling R1 (Open_rulings #12)</t>
  </si>
  <si>
    <t xml:space="preserve">TC</t>
  </si>
  <si>
    <t xml:space="preserve">Recoverability, per-node rule</t>
  </si>
  <si>
    <t xml:space="preserve">AC</t>
  </si>
  <si>
    <t xml:space="preserve">Recoverability, definer resolves to a responsible authority</t>
  </si>
  <si>
    <t xml:space="preserve">EF</t>
  </si>
  <si>
    <t xml:space="preserve">Recoverability; trajectory cells open ruling</t>
  </si>
  <si>
    <t xml:space="preserve">SIF</t>
  </si>
  <si>
    <t xml:space="preserve">SIF sheet mean of 5 elements</t>
  </si>
  <si>
    <t xml:space="preserve">Recall: which of the 6 answer-key obligations does each artifact name. Coverage means named, not succeeded.</t>
  </si>
  <si>
    <t xml:space="preserve">Scale: 1 = covered, 0.5 = gestured at without specifics, 0 = absent. Fill the YELLOW cells. Manual scoring is authoritative.</t>
  </si>
  <si>
    <t xml:space="preserve">EXAMPLE of a filled row (format only, not data): GT-0x | obligation text | 1 | 0.5 | 0 | 1 | 1 | 1 | short basis note</t>
  </si>
  <si>
    <t xml:space="preserve">GT id</t>
  </si>
  <si>
    <t xml:space="preserve">Obligation</t>
  </si>
  <si>
    <t xml:space="preserve">Notes</t>
  </si>
  <si>
    <t xml:space="preserve">GT-01</t>
  </si>
  <si>
    <t xml:space="preserve">Reproduce the reported incorrect behavior</t>
  </si>
  <si>
    <t xml:space="preserve">Traj cells: four-tool vocabulary has no run capability; run-1 disclosed confound carries over.</t>
  </si>
  <si>
    <t xml:space="preserve">GT-02</t>
  </si>
  <si>
    <t xml:space="preserve">Localize the defect in the separability computation</t>
  </si>
  <si>
    <t xml:space="preserve">GT-03</t>
  </si>
  <si>
    <t xml:space="preserve">Characterize why nesting specifically breaks it</t>
  </si>
  <si>
    <t xml:space="preserve">GT-04</t>
  </si>
  <si>
    <t xml:space="preserve">Correct the computation for nested CompoundModels</t>
  </si>
  <si>
    <t xml:space="preserve">Claude traj: zero edit_file among 34 actions (16 search, 17 open, 1 done). Ruling needed whether an edit described only in thought text counts.</t>
  </si>
  <si>
    <t xml:space="preserve">GT-05</t>
  </si>
  <si>
    <t xml:space="preserve">Verify the reported case yields the expected output</t>
  </si>
  <si>
    <t xml:space="preserve">GT-06</t>
  </si>
  <si>
    <t xml:space="preserve">Preserve existing behavior (no regressions)</t>
  </si>
  <si>
    <t xml:space="preserve">Precision: is each emitted policy inside the intent. 1 = relevant, 0 = beyond-intent. Root P0 excluded (restates the intent).</t>
  </si>
  <si>
    <t xml:space="preserve">Fill/confirm the rel cells. Meeting ruling 2026-08-04 (R1): beyond-intent-but-correct steps are not penalized; run-1 rulings #2 (new-test authoring) and #3 (delivery/report class) are superseded, both classes now rel 1. Run-1 ruling #6 (monitor = 1) unchanged. The run-2 reproduction-vehicle carve-out is retained and subsumed by R1.</t>
  </si>
  <si>
    <t xml:space="preserve">CLAUDE id</t>
  </si>
  <si>
    <t xml:space="preserve">level | action / resource | rationale</t>
  </si>
  <si>
    <t xml:space="preserve">rel</t>
  </si>
  <si>
    <t xml:space="preserve">note</t>
  </si>
  <si>
    <t xml:space="preserve">GPT id</t>
  </si>
  <si>
    <t xml:space="preserve">P0</t>
  </si>
  <si>
    <t xml:space="preserve">decl | fix / separability_matrix function in astropy.modeling.separable | Restates the raw intent: the separability_matrix function must correct</t>
  </si>
  <si>
    <t xml:space="preserve">ROOT EXCLUDED from precision</t>
  </si>
  <si>
    <t xml:space="preserve">decl | resolve / Astropy modeling separability computation for nested Compoun | Restates the reported goal of making nested CompoundModel separability</t>
  </si>
  <si>
    <t xml:space="preserve">P1</t>
  </si>
  <si>
    <t xml:space="preserve">defi | monitor / separability_matrix output for nested CompoundModel inputs | To fix the bug we must first observe the incorrect behavior: monitor t</t>
  </si>
  <si>
    <t xml:space="preserve">defi | reproduce / ['the nested expression `Pix2Sky_TAN() &amp; (Linear1D(10) &amp; Lin | A correction requires a stable reproduction showing that nesting chang</t>
  </si>
  <si>
    <t xml:space="preserve">P2</t>
  </si>
  <si>
    <t xml:space="preserve">defi | analyze / separability_matrix internal logic for CompoundModel recursi | Understanding the root cause requires analyzing how separability_matri</t>
  </si>
  <si>
    <t xml:space="preserve">defi | trace / ['`separability_matrix`', 'recursive separability helper fun | The discrepancy must be traced through recursive handling of nested co</t>
  </si>
  <si>
    <t xml:space="preserve">P2.1</t>
  </si>
  <si>
    <t xml:space="preserve">defi | identify / _separable and _cstack helper functions in astropy.modeling. | The bug likely resides in the helper functions (_separable, _cstack, o</t>
  </si>
  <si>
    <t xml:space="preserve">P3</t>
  </si>
  <si>
    <t xml:space="preserve">defi | derive / ['expected separability matrix for nested parallel compositi | The implementation should be guided by the established dependency sema</t>
  </si>
  <si>
    <t xml:space="preserve">P2.2</t>
  </si>
  <si>
    <t xml:space="preserve">defi | compare / separability_matrix results for flat vs. nested equivalent C | Comparing the matrix produced by the flat form (Pix2Sky_TAN() &amp; Linear</t>
  </si>
  <si>
    <t xml:space="preserve">P4</t>
  </si>
  <si>
    <t xml:space="preserve">impe | add / ['regression test for `Pix2Sky_TAN() &amp; (Linear1D(10) &amp; Linea | A regression test preserves the reproduced failure and defines the req</t>
  </si>
  <si>
    <t xml:space="preserve">carve-out: authored as the reproduction vehicle, counts as reproduction</t>
  </si>
  <si>
    <t xml:space="preserve">defi | decide / separability_matrix recursion logic for nested CompoundModel | Once the defective code path is identified, a repair plan must be deci</t>
  </si>
  <si>
    <t xml:space="preserve">P5</t>
  </si>
  <si>
    <t xml:space="preserve">defi | select / the minimal separability-composition correction that preserv | After locating the faulty recursive composition behavior, a minimal co</t>
  </si>
  <si>
    <t xml:space="preserve">P3.1</t>
  </si>
  <si>
    <t xml:space="preserve">defi | design / corrected block-diagonal combination rule for '&amp;' operator i | The fix must ensure that when a CompoundModel operand joined by '&amp;' is</t>
  </si>
  <si>
    <t xml:space="preserve">P6</t>
  </si>
  <si>
    <t xml:space="preserve">impe | modify / the nested parallel-composition separability logic so it com | Preserving the recursive child matrices during `&amp;` composition directl</t>
  </si>
  <si>
    <t xml:space="preserve">P3.2</t>
  </si>
  <si>
    <t xml:space="preserve">defi | design / regression test cases for separability_matrix with nested Co | A test plan must be designed covering: flat compound models, singly-ne</t>
  </si>
  <si>
    <t xml:space="preserve">R1 (2026-08-04 meeting): beyond-intent-but-correct is not penalized; supersedes run-1 ruling #2. Was 0.</t>
  </si>
  <si>
    <t xml:space="preserve">P7</t>
  </si>
  <si>
    <t xml:space="preserve">impe | run / ['new nested CompoundModel separability regression tests', ' | Running focused and related tests verifies that the correction fixes n</t>
  </si>
  <si>
    <t xml:space="preserve">impe | patch / _separable function (or equivalent combiner) in astropy/mode | Directly modify the code path that handles the '&amp;' (join/concatenate) </t>
  </si>
  <si>
    <t xml:space="preserve">P8</t>
  </si>
  <si>
    <t xml:space="preserve">impe | report / ['test outcomes', 'before-and-after separability matrices',  | Recording the diagnosis and validation results provides an auditable p</t>
  </si>
  <si>
    <t xml:space="preserve">R1 (2026-08-04 meeting): beyond-intent-but-correct is not penalized; supersedes run-1 ruling #3 and run-2 ruling #9. Was 0.</t>
  </si>
  <si>
    <t xml:space="preserve">impe | add / unit tests asserting correct separability matrices for neste | Add concrete test cases (e.g., separability_matrix(Pix2Sky_TAN() &amp; (Li</t>
  </si>
  <si>
    <t xml:space="preserve">impe | validate / full astropy.modeling test suite output | After patching, run the full modeling test suite to confirm no existin</t>
  </si>
  <si>
    <t xml:space="preserve">Precision, unstructured cells. Unit = one asserted step; the candidate list below is a mechanical extraction of the response headings.</t>
  </si>
  <si>
    <t xml:space="preserve">First adjudicate the unit list itself (merge, split, strike), then fill the YELLOW rel cells for the units kept.</t>
  </si>
  <si>
    <t xml:space="preserve">CLAUDE item</t>
  </si>
  <si>
    <t xml:space="preserve">heading</t>
  </si>
  <si>
    <t xml:space="preserve">GPT item</t>
  </si>
  <si>
    <t xml:space="preserve">U1</t>
  </si>
  <si>
    <t xml:space="preserve">Analysis of the Problem</t>
  </si>
  <si>
    <t xml:space="preserve">struck: heading or container, not an asserted step</t>
  </si>
  <si>
    <t xml:space="preserve">Plan to resolve the nested `CompoundModel` separability issue</t>
  </si>
  <si>
    <t xml:space="preserve">struck: title, not an asserted step</t>
  </si>
  <si>
    <t xml:space="preserve">U2</t>
  </si>
  <si>
    <t xml:space="preserve">Investigation Plan</t>
  </si>
  <si>
    <t xml:space="preserve">1. Reproduce the failure with the reported examples</t>
  </si>
  <si>
    <t xml:space="preserve">U3</t>
  </si>
  <si>
    <t xml:space="preserve">Understand the Code Structure</t>
  </si>
  <si>
    <t xml:space="preserve">2. Trace the separability recursion for the `&amp;` operator</t>
  </si>
  <si>
    <t xml:space="preserve">U4</t>
  </si>
  <si>
    <t xml:space="preserve">Trace the Bug</t>
  </si>
  <si>
    <t xml:space="preserve">3. Identify the matrix-preservation bug</t>
  </si>
  <si>
    <t xml:space="preserve">U5</t>
  </si>
  <si>
    <t xml:space="preserve">Identify the Bug</t>
  </si>
  <si>
    <t xml:space="preserve">4. Make the minimal implementation correction</t>
  </si>
  <si>
    <t xml:space="preserve">U6</t>
  </si>
  <si>
    <t xml:space="preserve">Look at `_cstack` Implementation</t>
  </si>
  <si>
    <t xml:space="preserve">5. Add regression tests</t>
  </si>
  <si>
    <t xml:space="preserve">U7</t>
  </si>
  <si>
    <t xml:space="preserve">The Fix</t>
  </si>
  <si>
    <t xml:space="preserve">6. Run the relevant modeling test suite</t>
  </si>
  <si>
    <t xml:space="preserve">U8</t>
  </si>
  <si>
    <t xml:space="preserve">Concrete Fix Plan</t>
  </si>
  <si>
    <t xml:space="preserve">U9</t>
  </si>
  <si>
    <t xml:space="preserve">1. Locate</t>
  </si>
  <si>
    <t xml:space="preserve">duplicate of the investigation steps; kept, duplication is not beyond-intent</t>
  </si>
  <si>
    <t xml:space="preserve">U10</t>
  </si>
  <si>
    <t xml:space="preserve">2. Find</t>
  </si>
  <si>
    <t xml:space="preserve">U11</t>
  </si>
  <si>
    <t xml:space="preserve">3. Identify</t>
  </si>
  <si>
    <t xml:space="preserve">U12</t>
  </si>
  <si>
    <t xml:space="preserve">4. Fix</t>
  </si>
  <si>
    <t xml:space="preserve">Precision, trajectory cells. Unit = one step (mechanical transcription from parsed_steps). Fill the YELLOW rel cells.</t>
  </si>
  <si>
    <t xml:space="preserve">All 42 steps are on-intent, rel=1 throughout; no unit falls in the run-1 beyond-intent classes. Redundancy (mechanical, observation only, not a precision input): CLAUDE 30 unique operations of 34 (one open repeated x3, two slices x2), GPT 7 of 8. GT step 6 authors the failing test; kept rel 1 under the reproduction-vehicle carve-out.</t>
  </si>
  <si>
    <t xml:space="preserve">CLAUDE trajectory (34 steps)</t>
  </si>
  <si>
    <t xml:space="preserve">step</t>
  </si>
  <si>
    <t xml:space="preserve">action</t>
  </si>
  <si>
    <t xml:space="preserve">args</t>
  </si>
  <si>
    <t xml:space="preserve">thought (first 70 chars)</t>
  </si>
  <si>
    <t xml:space="preserve">open_file</t>
  </si>
  <si>
    <t xml:space="preserve">{"path": "astropy/modeling/separable.py"}</t>
  </si>
  <si>
    <t xml:space="preserve">First, let me look at the separable.py file which contains the separab</t>
  </si>
  <si>
    <t xml:space="preserve">search_repo</t>
  </si>
  <si>
    <t xml:space="preserve">{"query": "_cstack _cdot separable compound"}</t>
  </si>
  <si>
    <t xml:space="preserve">Now I need to understand the _separable function and how it handles Co</t>
  </si>
  <si>
    <t xml:space="preserve">{"query": "def _separable"}</t>
  </si>
  <si>
    <t xml:space="preserve">Let me look more carefully at the _separable function to understand ho</t>
  </si>
  <si>
    <t xml:space="preserve">Let me look at the full separable.py file content to understand the co</t>
  </si>
  <si>
    <t xml:space="preserve">{"query": "def _separable separability_matrix</t>
  </si>
  <si>
    <t xml:space="preserve">Based on my reading of the code, I need to understand the issue. The `</t>
  </si>
  <si>
    <t xml:space="preserve">{"path": "astropy/modeling/separable.py", "st</t>
  </si>
  <si>
    <t xml:space="preserve">Let me open the separable.py file and look at specific line ranges to </t>
  </si>
  <si>
    <t xml:space="preserve">Let me look at more of the file to find the _separable function.</t>
  </si>
  <si>
    <t xml:space="preserve">Let me look at more of the file.</t>
  </si>
  <si>
    <t xml:space="preserve">Now I have a good understanding of the code. Let me analyze the bug:
</t>
  </si>
  <si>
    <t xml:space="preserve">{"query": "def _cstack"}</t>
  </si>
  <si>
    <t xml:space="preserve">Now I understand the issue. Let me look at the `_cstack` function to u</t>
  </si>
  <si>
    <t xml:space="preserve">Based on my analysis, I now understand the bug. In the `_separable` fu</t>
  </si>
  <si>
    <t xml:space="preserve">{"query": "_cstack _cdot _coord_matrix"}</t>
  </si>
  <si>
    <t xml:space="preserve">Now I have a complete picture. Let me trace through the code to find t</t>
  </si>
  <si>
    <t xml:space="preserve">Let me look at the separable.py file more carefully to find the _cstac</t>
  </si>
  <si>
    <t xml:space="preserve">Now I need to understand the full flow. Let me look at the complete fi</t>
  </si>
  <si>
    <t xml:space="preserve">{"query": "def _coord_matrix"}</t>
  </si>
  <si>
    <t xml:space="preserve">Let me search for the _coord_matrix function which likely creates the </t>
  </si>
  <si>
    <t xml:space="preserve">Based on my analysis so far, I believe the bug is in the `_separable` </t>
  </si>
  <si>
    <t xml:space="preserve">{"query": "CompoundModel separable _separable</t>
  </si>
  <si>
    <t xml:space="preserve">Let me try a different approach and search for the key parts of the co</t>
  </si>
  <si>
    <t xml:space="preserve">retry admission in thought</t>
  </si>
  <si>
    <t xml:space="preserve">{"query": "def separability_matrix def _separ</t>
  </si>
  <si>
    <t xml:space="preserve">Let me look at the full separable.py file by searching for specific fu</t>
  </si>
  <si>
    <t xml:space="preserve">Let me try to open the file with a broader range to see all the conten</t>
  </si>
  <si>
    <t xml:space="preserve">Based on my analysis, I now have a clear understanding of the bug. Let</t>
  </si>
  <si>
    <t xml:space="preserve">{"query": "isinstance CompoundModel _coord_ma</t>
  </si>
  <si>
    <t xml:space="preserve">I need to see the actual file. Let me try a search to find the key lin</t>
  </si>
  <si>
    <t xml:space="preserve">Let me look at the file structure to understand what's in separable.py</t>
  </si>
  <si>
    <t xml:space="preserve">Based on my extensive analysis, I'm confident about the bug location a</t>
  </si>
  <si>
    <t xml:space="preserve">{"query": "cstack cdot _coord_matrix left_coo</t>
  </si>
  <si>
    <t xml:space="preserve">I've been trying to open the file multiple times. Let me try a differe</t>
  </si>
  <si>
    <t xml:space="preserve">thought: I've been trying to open the file multiple times</t>
  </si>
  <si>
    <t xml:space="preserve">{"query": "_coord_matrix model axes"}</t>
  </si>
  <si>
    <t xml:space="preserve">Let me try to find the exact location of the bug by searching for the </t>
  </si>
  <si>
    <t xml:space="preserve">{"query": "separability_matrix compound_model</t>
  </si>
  <si>
    <t xml:space="preserve">Let me try to look at the file using a search for specific text.</t>
  </si>
  <si>
    <t xml:space="preserve">{"query": "file:separable.py _separable"}</t>
  </si>
  <si>
    <t xml:space="preserve">Let me try to find the file by looking at the directory structure.</t>
  </si>
  <si>
    <t xml:space="preserve">Based on all my analysis, I'm now confident about the bug and the fix.</t>
  </si>
  <si>
    <t xml:space="preserve">{"query": "def _separable transform"}</t>
  </si>
  <si>
    <t xml:space="preserve">I keep getting the same result. Let me try to look at the file differe</t>
  </si>
  <si>
    <t xml:space="preserve">thought: I keep getting the same result</t>
  </si>
  <si>
    <t xml:space="preserve">{"query": "test_separability separability_mat</t>
  </si>
  <si>
    <t xml:space="preserve">Let me try to find the exact code by looking at the git history or tes</t>
  </si>
  <si>
    <t xml:space="preserve">{"path": "astropy/modeling/tests/test_separab</t>
  </si>
  <si>
    <t xml:space="preserve">Let me look at the test file for separability to understand the expect</t>
  </si>
  <si>
    <t xml:space="preserve">Now I have a clear picture. Based on my analysis, the bug is in the `_</t>
  </si>
  <si>
    <t xml:space="preserve">{"query": "noutp nout left right _cstack _cdo</t>
  </si>
  <si>
    <t xml:space="preserve">I've been unable to see the file content through the open_file tool. L</t>
  </si>
  <si>
    <t xml:space="preserve">thought: unable to see the file content</t>
  </si>
  <si>
    <t xml:space="preserve">done</t>
  </si>
  <si>
    <t xml:space="preserve">{"summary": "## Plan for Resolving the Separa</t>
  </si>
  <si>
    <t xml:space="preserve">Based on all my research, I now have a comprehensive understanding of </t>
  </si>
  <si>
    <t xml:space="preserve">GPT trajectory (8 steps)</t>
  </si>
  <si>
    <t xml:space="preserve">{"query": "separability_matrix _cstack separa</t>
  </si>
  <si>
    <t xml:space="preserve">Locate the separability implementation and its existing regression tes</t>
  </si>
  <si>
    <t xml:space="preserve">Inspect the public `separability_matrix` entry point and the recursive</t>
  </si>
  <si>
    <t xml:space="preserve">{"query": "separability_matrix(", "path": "as</t>
  </si>
  <si>
    <t xml:space="preserve">Examine the tests nearest to the implementation so the intended semant</t>
  </si>
  <si>
    <t xml:space="preserve">Read the relevant test module and compare the expected matrices for di</t>
  </si>
  <si>
    <t xml:space="preserve">Trace the matrix dimensions and values through the parallel-compositio</t>
  </si>
  <si>
    <t xml:space="preserve">edit_file</t>
  </si>
  <si>
    <t xml:space="preserve">Plan a focused regression test that constructs both the nested model a</t>
  </si>
  <si>
    <t xml:space="preserve">{"path": "astropy/modeling/separable.py", "de</t>
  </si>
  <si>
    <t xml:space="preserve">Plan the minimal implementation correction in the parallel-composition</t>
  </si>
  <si>
    <t xml:space="preserve">{"summary": "No repository changes were made </t>
  </si>
  <si>
    <t xml:space="preserve">Run the separability test module and, if available in the repository w</t>
  </si>
  <si>
    <t xml:space="preserve">TC / AC / EF across the six artifacts. Structural only, never content quality. Values below are PROPOSED; confirm or overrule each row.</t>
  </si>
  <si>
    <t xml:space="preserve">Per-node rule (run-1, locked): lineage must be retrievable per node for TC credit. Definer must resolve to a responsible authority for AC.</t>
  </si>
  <si>
    <t xml:space="preserve">Artifact</t>
  </si>
  <si>
    <t xml:space="preserve">modality</t>
  </si>
  <si>
    <t xml:space="preserve">nodes / steps</t>
  </si>
  <si>
    <t xml:space="preserve">basis</t>
  </si>
  <si>
    <t xml:space="preserve">CLAUDE plan_unstructured</t>
  </si>
  <si>
    <t xml:space="preserve">plan</t>
  </si>
  <si>
    <t xml:space="preserve">prose</t>
  </si>
  <si>
    <t xml:space="preserve">proposed: no per-node lineage, definer, or anchored rationale fields exist; probe all zero. Reasoning present as prose only.</t>
  </si>
  <si>
    <t xml:space="preserve">CLAUDE plan_trajectory</t>
  </si>
  <si>
    <t xml:space="preserve">34 steps</t>
  </si>
  <si>
    <t xml:space="preserve">TC/AC 0 proposed: no parent or definer on any step (mechanical). EF 1.00 per run-1 precedent: every step carries a thought, so rationale is recoverable as a field; narrowing stated, lineage separation is carried by TC/AC, not EF. Ruling 1 resolved.</t>
  </si>
  <si>
    <t xml:space="preserve">CLAUDE plan_structured</t>
  </si>
  <si>
    <t xml:space="preserve">11 policies</t>
  </si>
  <si>
    <t xml:space="preserve">mechanical, verified: 11/11 carry parent_id resolving to P0, definer by level, rationale present. Confirm.</t>
  </si>
  <si>
    <t xml:space="preserve">GPT plan_unstructured</t>
  </si>
  <si>
    <t xml:space="preserve">proposed: same basis as Claude unstructured; probe all zero.</t>
  </si>
  <si>
    <t xml:space="preserve">GPT plan_trajectory</t>
  </si>
  <si>
    <t xml:space="preserve">8 steps</t>
  </si>
  <si>
    <t xml:space="preserve">GPT plan_structured</t>
  </si>
  <si>
    <t xml:space="preserve">9 policies</t>
  </si>
  <si>
    <t xml:space="preserve">mechanical, verified: 9/9 parent_id resolve, definer by level, rationale present. Confirm.</t>
  </si>
  <si>
    <t xml:space="preserve">Semantic Intent Fidelity: 5 root-tuple elements, scored once at intent level. 0 / 0.5 / 1 partial credit. Fill the YELLOW cells.</t>
  </si>
  <si>
    <t xml:space="preserve">Evidence transcriptions are in SIF_detail. Spatial is the probe cell from run 1: stated whole vs reassembled.</t>
  </si>
  <si>
    <t xml:space="preserve">Element</t>
  </si>
  <si>
    <t xml:space="preserve">Action</t>
  </si>
  <si>
    <t xml:space="preserve">prose cells capped at 0.5 per run-1 not-a-field convention (ruling 8)</t>
  </si>
  <si>
    <t xml:space="preserve">Resource</t>
  </si>
  <si>
    <t xml:space="preserve">Spatial</t>
  </si>
  <si>
    <t xml:space="preserve">Temporal</t>
  </si>
  <si>
    <t xml:space="preserve">Context</t>
  </si>
  <si>
    <t xml:space="preserve">SIF (mean)</t>
  </si>
  <si>
    <t xml:space="preserve">SIF evidence. Structured columns transcribed mechanically from each P0. Unstructured / trajectory evidence columns are yours to fill from the responses.</t>
  </si>
  <si>
    <t xml:space="preserve">GT reference (P0)</t>
  </si>
  <si>
    <t xml:space="preserve">CLAUDE struct P0 field</t>
  </si>
  <si>
    <t xml:space="preserve">GPT struct P0 field</t>
  </si>
  <si>
    <t xml:space="preserve">CLAUDE unstr / traj: where it appears</t>
  </si>
  <si>
    <t xml:space="preserve">GPT unstr / traj: where it appears</t>
  </si>
  <si>
    <t xml:space="preserve">fix</t>
  </si>
  <si>
    <t xml:space="preserve">resolve</t>
  </si>
  <si>
    <t xml:space="preserve">CU: Concrete Fix Plan / CT: ### Fix in done summary</t>
  </si>
  <si>
    <t xml:space="preserve">GU: Plan to resolve / GT: minimal implementation correction</t>
  </si>
  <si>
    <t xml:space="preserve">separability computation for nested CompoundModels</t>
  </si>
  <si>
    <t xml:space="preserve">separability_matrix function in astropy.modeling.separable  [nested appears in five child resource fields: P1, P2.2, P3, P3.2, P5; refined downward, not lost; 0.5 per the reassembly tier]</t>
  </si>
  <si>
    <t xml:space="preserve">Astropy modeling separability computation for nested CompoundModel expressions</t>
  </si>
  <si>
    <t xml:space="preserve">CU+CT: nested CompoundModels separability named in prose</t>
  </si>
  <si>
    <t xml:space="preserve">GU: nested CompoundModel separability / GT: nested compound models</t>
  </si>
  <si>
    <t xml:space="preserve">astropy repository</t>
  </si>
  <si>
    <t xml:space="preserve">astropy.modeling.separable module</t>
  </si>
  <si>
    <t xml:space="preserve">repository modeling package</t>
  </si>
  <si>
    <t xml:space="preserve">CU: separable.py in prose / CT: path in tool args</t>
  </si>
  <si>
    <t xml:space="preserve">GU: astropy.modeling in prose / GT: path in tool args</t>
  </si>
  <si>
    <t xml:space="preserve">always</t>
  </si>
  <si>
    <t xml:space="preserve">absent in both</t>
  </si>
  <si>
    <t xml:space="preserve">production</t>
  </si>
  <si>
    <t xml:space="preserve">repository maintenance</t>
  </si>
  <si>
    <t xml:space="preserve">Evidence: every proposed score with its basis and a Ctrl-F anchor. Anchors are verbatim substrings of the artifact response_text (or an absence check with term counts), machine-verified at build time.</t>
  </si>
  <si>
    <t xml:space="preserve">Open the artifact json (or its .readable.txt companion) and Ctrl-F the anchor. Absence anchors: Ctrl-F the term and confirm zero hits.</t>
  </si>
  <si>
    <t xml:space="preserve">Cell</t>
  </si>
  <si>
    <t xml:space="preserve">Artifact file</t>
  </si>
  <si>
    <t xml:space="preserve">Proposed</t>
  </si>
  <si>
    <t xml:space="preserve">Ctrl-F anchor</t>
  </si>
  <si>
    <t xml:space="preserve">Verified</t>
  </si>
  <si>
    <t xml:space="preserve">Coverage GT-01 CU</t>
  </si>
  <si>
    <t xml:space="preserve">plan_unstructured_astropy__astropy-12907_claude-sonnet-4-6_run1.json</t>
  </si>
  <si>
    <t xml:space="preserve">no reproduction or test step anywhere; the plan is analysis-only</t>
  </si>
  <si>
    <t xml:space="preserve">[absence: reproduce=0, test=0]</t>
  </si>
  <si>
    <t xml:space="preserve">yes</t>
  </si>
  <si>
    <t xml:space="preserve">Coverage GT-02 CU</t>
  </si>
  <si>
    <t xml:space="preserve">names file and helper functions</t>
  </si>
  <si>
    <t xml:space="preserve">`astropy/modeling/separable.py` - the main file</t>
  </si>
  <si>
    <t xml:space="preserve">Coverage GT-03 CU</t>
  </si>
  <si>
    <t xml:space="preserve">explains the nested-specific failure mode</t>
  </si>
  <si>
    <t xml:space="preserve">the case where the right operand is itself</t>
  </si>
  <si>
    <t xml:space="preserve">Coverage GT-04 CU</t>
  </si>
  <si>
    <t xml:space="preserve">fix step targets _cstack block construction</t>
  </si>
  <si>
    <t xml:space="preserve">correctly build the block diagonal matrix from the two input separability matrices</t>
  </si>
  <si>
    <t xml:space="preserve">Coverage GT-05 CU</t>
  </si>
  <si>
    <t xml:space="preserve">expected matrix named analytically; no post-fix verification step</t>
  </si>
  <si>
    <t xml:space="preserve">should produce a 4</t>
  </si>
  <si>
    <t xml:space="preserve">Coverage GT-06 CU</t>
  </si>
  <si>
    <t xml:space="preserve">no regression or existing-suite mention</t>
  </si>
  <si>
    <t xml:space="preserve">[absence: regress=0, existing=0]</t>
  </si>
  <si>
    <t xml:space="preserve">Coverage GT-01 CT</t>
  </si>
  <si>
    <t xml:space="preserve">plan_trajectory_astropy__astropy-12907_claude-sonnet-4-6_run1.json</t>
  </si>
  <si>
    <t xml:space="preserve">no reproduction named; four-tool vocabulary also cannot run (run-1 confound)</t>
  </si>
  <si>
    <t xml:space="preserve">[absence: reproduce=0]</t>
  </si>
  <si>
    <t xml:space="preserve">Coverage GT-02 CT</t>
  </si>
  <si>
    <t xml:space="preserve">localizes to file and function</t>
  </si>
  <si>
    <t xml:space="preserve">The bug is in `astropy/modeling/separable.py` in the `_separable` function</t>
  </si>
  <si>
    <t xml:space="preserve">Coverage GT-03 CT</t>
  </si>
  <si>
    <t xml:space="preserve">characterizes: _coord_matrix flattens a nested compound to all-True</t>
  </si>
  <si>
    <t xml:space="preserve">incorrectly creates a 2x2 all-True matrix instead of the correct 2x2 diagonal</t>
  </si>
  <si>
    <t xml:space="preserve">Coverage GT-04 CT</t>
  </si>
  <si>
    <t xml:space="preserve">done summary names the modify step with a concrete code sketch; NOTE zero edit_file actions (ruling 2)</t>
  </si>
  <si>
    <t xml:space="preserve">to check if sub-models are CompoundModels</t>
  </si>
  <si>
    <t xml:space="preserve">Coverage GT-05 CT</t>
  </si>
  <si>
    <t xml:space="preserve">verify step with the reported example and expected matrix</t>
  </si>
  <si>
    <t xml:space="preserve">by running the example from the issue</t>
  </si>
  <si>
    <t xml:space="preserve">Coverage GT-06 CT</t>
  </si>
  <si>
    <t xml:space="preserve">regression prevention via new tests is named; running the existing suite is not</t>
  </si>
  <si>
    <t xml:space="preserve">to prevent regression</t>
  </si>
  <si>
    <t xml:space="preserve">Coverage GT-01 CS</t>
  </si>
  <si>
    <t xml:space="preserve">plan_structured_astropy__astropy-12907_claude-sonnet-4-6_run1.json</t>
  </si>
  <si>
    <t xml:space="preserve">P1 monitor captures the erroneous output (monitor-as-reproduction, ruling 5)</t>
  </si>
  <si>
    <t xml:space="preserve">observe the incorrect behavior</t>
  </si>
  <si>
    <t xml:space="preserve">Coverage GT-02 CS</t>
  </si>
  <si>
    <t xml:space="preserve">P2.1 identifies the helper functions</t>
  </si>
  <si>
    <t xml:space="preserve">_separable and _cstack helper functions</t>
  </si>
  <si>
    <t xml:space="preserve">Coverage GT-03 CS</t>
  </si>
  <si>
    <t xml:space="preserve">P2.2 compares flat vs nested to isolate divergence</t>
  </si>
  <si>
    <t xml:space="preserve">isolates exactly where the logic</t>
  </si>
  <si>
    <t xml:space="preserve">Coverage GT-04 CS</t>
  </si>
  <si>
    <t xml:space="preserve">P4 patches the '&amp;' code path</t>
  </si>
  <si>
    <t xml:space="preserve">Directly modify the code path that handles</t>
  </si>
  <si>
    <t xml:space="preserve">Coverage GT-05 CS</t>
  </si>
  <si>
    <t xml:space="preserve">P5 adds the reported-case test with expected matrix</t>
  </si>
  <si>
    <t xml:space="preserve">expected diagonal-block matrix</t>
  </si>
  <si>
    <t xml:space="preserve">Coverage GT-06 CS</t>
  </si>
  <si>
    <t xml:space="preserve">P6 validates the full suite against breakage</t>
  </si>
  <si>
    <t xml:space="preserve">confirm no existing tests are broken</t>
  </si>
  <si>
    <t xml:space="preserve">Coverage GT-01 GU</t>
  </si>
  <si>
    <t xml:space="preserve">plan_unstructured_astropy__astropy-12907_gpt-5.6-terra_run1.json</t>
  </si>
  <si>
    <t xml:space="preserve">step 1 reproduces the three reported cases</t>
  </si>
  <si>
    <t xml:space="preserve">Reproduce the failure with the reported examples</t>
  </si>
  <si>
    <t xml:space="preserve">Coverage GT-02 GU</t>
  </si>
  <si>
    <t xml:space="preserve">step 2 traces the '&amp;' handler</t>
  </si>
  <si>
    <t xml:space="preserve">Trace the separability recursion</t>
  </si>
  <si>
    <t xml:space="preserve">Coverage GT-03 GU</t>
  </si>
  <si>
    <t xml:space="preserve">step 3 explains the discarded nested matrix</t>
  </si>
  <si>
    <t xml:space="preserve">the separability information within the nested `cm` is discarded</t>
  </si>
  <si>
    <t xml:space="preserve">Coverage GT-04 GU</t>
  </si>
  <si>
    <t xml:space="preserve">step 4 minimal correction preserving the nested block</t>
  </si>
  <si>
    <t xml:space="preserve">it is copied into its correctly aligned region</t>
  </si>
  <si>
    <t xml:space="preserve">Coverage GT-05 GU</t>
  </si>
  <si>
    <t xml:space="preserve">step 5 regression test for the reported case with expected matrix</t>
  </si>
  <si>
    <t xml:space="preserve">Add a test specifically covering a nested compound model</t>
  </si>
  <si>
    <t xml:space="preserve">Coverage GT-06 GU</t>
  </si>
  <si>
    <t xml:space="preserve">step 6 broader suite to protect existing behavior</t>
  </si>
  <si>
    <t xml:space="preserve">ensure the change does not affect composition</t>
  </si>
  <si>
    <t xml:space="preserve">Coverage GT-01 GT</t>
  </si>
  <si>
    <t xml:space="preserve">plan_trajectory_astropy__astropy-12907_gpt-5.6-terra_run1.json</t>
  </si>
  <si>
    <t xml:space="preserve">failing-test-first names reproduction; run-1 precedent scored trajectory GT-01 at 0 (ruling 4)</t>
  </si>
  <si>
    <t xml:space="preserve">This test should fail before the implementation correct</t>
  </si>
  <si>
    <t xml:space="preserve">Coverage GT-02 GT</t>
  </si>
  <si>
    <t xml:space="preserve">step 1 locates implementation and tests</t>
  </si>
  <si>
    <t xml:space="preserve">likely `astropy/modeling/separable.py`</t>
  </si>
  <si>
    <t xml:space="preserve">Coverage GT-03 GT</t>
  </si>
  <si>
    <t xml:space="preserve">step 5 characterizes the dimension-only block replacement</t>
  </si>
  <si>
    <t xml:space="preserve">inserts a generic non-separable block based only on dimensions</t>
  </si>
  <si>
    <t xml:space="preserve">Coverage GT-04 GT</t>
  </si>
  <si>
    <t xml:space="preserve">step 7 edit_file with the block-diagonal correction</t>
  </si>
  <si>
    <t xml:space="preserve">into their respective diagonal blocks</t>
  </si>
  <si>
    <t xml:space="preserve">Coverage GT-05 GT</t>
  </si>
  <si>
    <t xml:space="preserve">step 7 expected matrix for the reported example</t>
  </si>
  <si>
    <t xml:space="preserve">The nested example should produce `[[True, True, False, False]</t>
  </si>
  <si>
    <t xml:space="preserve">Coverage GT-06 GT</t>
  </si>
  <si>
    <t xml:space="preserve">step 8 broader suite, no regressions</t>
  </si>
  <si>
    <t xml:space="preserve">existing separability behavior</t>
  </si>
  <si>
    <t xml:space="preserve">Coverage GT-01 GS</t>
  </si>
  <si>
    <t xml:space="preserve">plan_structured_astropy__astropy-12907_gpt-5.6-terra_run1.json</t>
  </si>
  <si>
    <t xml:space="preserve">P1 act=reproduce</t>
  </si>
  <si>
    <t xml:space="preserve">A correction requires a stable reproduction</t>
  </si>
  <si>
    <t xml:space="preserve">Coverage GT-02 GS</t>
  </si>
  <si>
    <t xml:space="preserve">P2 traces recursive handling</t>
  </si>
  <si>
    <t xml:space="preserve">traced through recursive handling of nested compound models</t>
  </si>
  <si>
    <t xml:space="preserve">Coverage GT-03 GS</t>
  </si>
  <si>
    <t xml:space="preserve">P3 derives the block semantics</t>
  </si>
  <si>
    <t xml:space="preserve">each child of a parallel composition must retain its own separability block</t>
  </si>
  <si>
    <t xml:space="preserve">Coverage GT-04 GS</t>
  </si>
  <si>
    <t xml:space="preserve">P6 modifies the composition logic</t>
  </si>
  <si>
    <t xml:space="preserve">Preserving the recursive child matrices during</t>
  </si>
  <si>
    <t xml:space="preserve">Coverage GT-05 GS</t>
  </si>
  <si>
    <t xml:space="preserve">P4 regression test preserves the reproduced failure</t>
  </si>
  <si>
    <t xml:space="preserve">A regression test preserves the reproduced failure</t>
  </si>
  <si>
    <t xml:space="preserve">Coverage GT-06 GS</t>
  </si>
  <si>
    <t xml:space="preserve">P7 runs new and existing tests</t>
  </si>
  <si>
    <t xml:space="preserve">without regressing existing separability behavior</t>
  </si>
  <si>
    <t xml:space="preserve">SIF Action CU</t>
  </si>
  <si>
    <t xml:space="preserve">fix named in prose, not a field</t>
  </si>
  <si>
    <t xml:space="preserve">## Concrete Fix Plan</t>
  </si>
  <si>
    <t xml:space="preserve">SIF Resource CU</t>
  </si>
  <si>
    <t xml:space="preserve">nested separability named in prose</t>
  </si>
  <si>
    <t xml:space="preserve">for nested `CompoundModels`</t>
  </si>
  <si>
    <t xml:space="preserve">SIF Spatial CU</t>
  </si>
  <si>
    <t xml:space="preserve">file path named in prose</t>
  </si>
  <si>
    <t xml:space="preserve">astropy/modeling/separable.py</t>
  </si>
  <si>
    <t xml:space="preserve">SIF Temporal CU</t>
  </si>
  <si>
    <t xml:space="preserve">never stated</t>
  </si>
  <si>
    <t xml:space="preserve">[absence: always=0]</t>
  </si>
  <si>
    <t xml:space="preserve">SIF Context CU</t>
  </si>
  <si>
    <t xml:space="preserve">[absence: production=0]</t>
  </si>
  <si>
    <t xml:space="preserve">SIF Action CT</t>
  </si>
  <si>
    <t xml:space="preserve">fix named in thoughts and summary, not a tuple field</t>
  </si>
  <si>
    <t xml:space="preserve">### Fix</t>
  </si>
  <si>
    <t xml:space="preserve">SIF Resource CT</t>
  </si>
  <si>
    <t xml:space="preserve">nested separability named</t>
  </si>
  <si>
    <t xml:space="preserve">Separability Matrix Bug for Nested CompoundModels</t>
  </si>
  <si>
    <t xml:space="preserve">SIF Spatial CT</t>
  </si>
  <si>
    <t xml:space="preserve">path present as a tool arg, not an intent-tuple field</t>
  </si>
  <si>
    <t xml:space="preserve">SIF Temporal CT</t>
  </si>
  <si>
    <t xml:space="preserve">no temporal scope stated; the word always appears only incidentally (instead of always calling _coord_matrix)</t>
  </si>
  <si>
    <t xml:space="preserve">[absence: temporal=0]</t>
  </si>
  <si>
    <t xml:space="preserve">SIF Context CT</t>
  </si>
  <si>
    <t xml:space="preserve">SIF Action CS</t>
  </si>
  <si>
    <t xml:space="preserve">field action = fix, exact GT match</t>
  </si>
  <si>
    <t xml:space="preserve">"action": "fix"</t>
  </si>
  <si>
    <t xml:space="preserve">SIF Resource CS</t>
  </si>
  <si>
    <t xml:space="preserve">0.5 per the reassembly tier (locked pre-SWE rubric): P0.resource names the function, nestedness arrives only in child fields P1, P2.2, P3, P3.2, P5. Refined downward, not lost.</t>
  </si>
  <si>
    <t xml:space="preserve">separability_matrix recursion logic for nested CompoundModel operands</t>
  </si>
  <si>
    <t xml:space="preserve">SIF Spatial CS</t>
  </si>
  <si>
    <t xml:space="preserve">field, whole, more specific than GT</t>
  </si>
  <si>
    <t xml:space="preserve">SIF Temporal CS</t>
  </si>
  <si>
    <t xml:space="preserve">field = always</t>
  </si>
  <si>
    <t xml:space="preserve">"temporal": "always"</t>
  </si>
  <si>
    <t xml:space="preserve">SIF Context CS</t>
  </si>
  <si>
    <t xml:space="preserve">field = production</t>
  </si>
  <si>
    <t xml:space="preserve">"context": "production"</t>
  </si>
  <si>
    <t xml:space="preserve">SIF Action GU</t>
  </si>
  <si>
    <t xml:space="preserve">resolve named in prose</t>
  </si>
  <si>
    <t xml:space="preserve">Plan to resolve</t>
  </si>
  <si>
    <t xml:space="preserve">SIF Resource GU</t>
  </si>
  <si>
    <t xml:space="preserve">nested `CompoundModel` separability</t>
  </si>
  <si>
    <t xml:space="preserve">SIF Spatial GU</t>
  </si>
  <si>
    <t xml:space="preserve">module named in prose</t>
  </si>
  <si>
    <t xml:space="preserve">astropy.modeling</t>
  </si>
  <si>
    <t xml:space="preserve">SIF Temporal GU</t>
  </si>
  <si>
    <t xml:space="preserve">SIF Context GU</t>
  </si>
  <si>
    <t xml:space="preserve">SIF Action GT</t>
  </si>
  <si>
    <t xml:space="preserve">correction named in thoughts</t>
  </si>
  <si>
    <t xml:space="preserve">Plan the minimal implementation correction</t>
  </si>
  <si>
    <t xml:space="preserve">SIF Resource GT</t>
  </si>
  <si>
    <t xml:space="preserve">nested compound separability named</t>
  </si>
  <si>
    <t xml:space="preserve">nested compound models</t>
  </si>
  <si>
    <t xml:space="preserve">SIF Spatial GT</t>
  </si>
  <si>
    <t xml:space="preserve">SIF Temporal GT</t>
  </si>
  <si>
    <t xml:space="preserve">SIF Context GT</t>
  </si>
  <si>
    <t xml:space="preserve">SIF Action GS</t>
  </si>
  <si>
    <t xml:space="preserve">field action = resolve, synonym accepted in run 1</t>
  </si>
  <si>
    <t xml:space="preserve">"action": "resolve"</t>
  </si>
  <si>
    <t xml:space="preserve">SIF Resource GS</t>
  </si>
  <si>
    <t xml:space="preserve">field matches GT incl. nestedness</t>
  </si>
  <si>
    <t xml:space="preserve">separability computation for nested CompoundModel expressions</t>
  </si>
  <si>
    <t xml:space="preserve">SIF Spatial GS</t>
  </si>
  <si>
    <t xml:space="preserve">field, whole</t>
  </si>
  <si>
    <t xml:space="preserve">SIF Temporal GS</t>
  </si>
  <si>
    <t xml:space="preserve">SIF Context GS</t>
  </si>
  <si>
    <t xml:space="preserve">field = repository maintenance vs GT production (ruling 7)</t>
  </si>
  <si>
    <t xml:space="preserve">EF CT and GT</t>
  </si>
  <si>
    <t xml:space="preserve">trajectory artifacts</t>
  </si>
  <si>
    <t xml:space="preserve">run-1 precedent: every step carries a thought, EF certifies field-recoverable rationale; narrowing stated, lineage separation lives in TC/AC. Ctrl-F with_thought: 34 in the CLAUDE artifact, with_thought: 8 in the GPT artifact.</t>
  </si>
  <si>
    <t xml:space="preserve">"with_thought": 34  |  "with_thought": 8</t>
  </si>
  <si>
    <t xml:space="preserve">TC/AC unstr+traj</t>
  </si>
  <si>
    <t xml:space="preserve">all four artifacts</t>
  </si>
  <si>
    <t xml:space="preserve">per-node rule; parent and definer fields mechanically absent (probe and audit)</t>
  </si>
  <si>
    <t xml:space="preserve">"structure_probe"</t>
  </si>
  <si>
    <t xml:space="preserve">TC/AC/EF struct</t>
  </si>
  <si>
    <t xml:space="preserve">both structured artifacts</t>
  </si>
  <si>
    <t xml:space="preserve">mechanical: every policy resolves to P0, definer by level, rationale present</t>
  </si>
  <si>
    <t xml:space="preserve">"parent_id": "P0"</t>
  </si>
  <si>
    <t xml:space="preserve">Precision CS P3.2</t>
  </si>
  <si>
    <t xml:space="preserve">plan_structured CLAUDE</t>
  </si>
  <si>
    <t xml:space="preserve">ruling #2 carried from run 1: designing new tests is beyond-intent</t>
  </si>
  <si>
    <t xml:space="preserve">A test plan must be designed covering</t>
  </si>
  <si>
    <t xml:space="preserve">Precision CS P5</t>
  </si>
  <si>
    <t xml:space="preserve">ruling #2: authoring new tests is beyond-intent; recall for GT-05 is unaffected, naming still counts</t>
  </si>
  <si>
    <t xml:space="preserve">Add concrete test cases</t>
  </si>
  <si>
    <t xml:space="preserve">Precision GS P4</t>
  </si>
  <si>
    <t xml:space="preserve">plan_structured GPT</t>
  </si>
  <si>
    <t xml:space="preserve">carve-out: test authored as the reproduction vehicle counts as reproduction, mirrors the GT-01 recall ruling</t>
  </si>
  <si>
    <t xml:space="preserve">Precision GS P8</t>
  </si>
  <si>
    <t xml:space="preserve">ruling #3: delivery/report class (run-1 P7 branch precedent)</t>
  </si>
  <si>
    <t xml:space="preserve">Recording the diagnosis and validation results</t>
  </si>
  <si>
    <t xml:space="preserve">Precision GU U6</t>
  </si>
  <si>
    <t xml:space="preserve">plan_unstructured GPT</t>
  </si>
  <si>
    <t xml:space="preserve">ruling #2: authoring new tests is beyond-intent</t>
  </si>
  <si>
    <t xml:space="preserve">Add regression tests</t>
  </si>
  <si>
    <t xml:space="preserve">Precision GT step 6</t>
  </si>
  <si>
    <t xml:space="preserve">plan_trajectory GPT</t>
  </si>
  <si>
    <t xml:space="preserve">carve-out: reproduction-vehicle test authoring</t>
  </si>
  <si>
    <t xml:space="preserve">Redundancy CT and GT</t>
  </si>
  <si>
    <t xml:space="preserve">0.88 / 0.88</t>
  </si>
  <si>
    <t xml:space="preserve">mechanical observation, not a precision input: unique operations over total, CLAUDE 30/34, GPT 7/8</t>
  </si>
  <si>
    <t xml:space="preserve">"open_file": 17</t>
  </si>
  <si>
    <t xml:space="preserve">Overhead: audit traversal O(depth) processing time plus storage bytes. Locked cross-domain convention.</t>
  </si>
  <si>
    <t xml:space="preserve">Bytes convention for run 2: len of json.dumps(parsed_tree, indent=2), stated here as the assumption. Times come from measure_overhead.py; fill the YELLOW cells after running it.</t>
  </si>
  <si>
    <t xml:space="preserve">nodes</t>
  </si>
  <si>
    <t xml:space="preserve">depth</t>
  </si>
  <si>
    <t xml:space="preserve">bytes</t>
  </si>
  <si>
    <t xml:space="preserve">B/node</t>
  </si>
  <si>
    <t xml:space="preserve">time (us)</t>
  </si>
  <si>
    <t xml:space="preserve">CLAUDE tree (11)</t>
  </si>
  <si>
    <t xml:space="preserve">pointer walk, deepest leaf to P0; time measured on the governing machine</t>
  </si>
  <si>
    <t xml:space="preserve">GPT tree (9)</t>
  </si>
  <si>
    <t xml:space="preserve">O(n) baseline: full-text scan of the flat artifacts, same machine</t>
  </si>
  <si>
    <t xml:space="preserve">chars</t>
  </si>
  <si>
    <t xml:space="preserve">file B</t>
  </si>
  <si>
    <t xml:space="preserve">CLAUDE prose</t>
  </si>
  <si>
    <t xml:space="preserve">GPT prose</t>
  </si>
  <si>
    <t xml:space="preserve">Reading: traversal is O(depth) over the lineage chain (0.35 and 0.41 us at depths 5 and 6); reconstruction over a flat artifact is O(n) over its full text (9.51 to 75.21 us here, growing with artifact length). Measured with review_tools/measure_overhead.py; the governing machine's numbers are recorded, container smoke-test values are not.</t>
  </si>
  <si>
    <t xml:space="preserve">Run integrity, mechanical, prefilled. Every value is read from the artifact json.</t>
  </si>
  <si>
    <t xml:space="preserve">model</t>
  </si>
  <si>
    <t xml:space="preserve">outcome</t>
  </si>
  <si>
    <t xml:space="preserve">tok in</t>
  </si>
  <si>
    <t xml:space="preserve">tok out</t>
  </si>
  <si>
    <t xml:space="preserve">cap</t>
  </si>
  <si>
    <t xml:space="preserve">wall s</t>
  </si>
  <si>
    <t xml:space="preserve">prompt/request sha16</t>
  </si>
  <si>
    <t xml:space="preserve">parse</t>
  </si>
  <si>
    <t xml:space="preserve">recomputed</t>
  </si>
  <si>
    <t xml:space="preserve">claude-sonnet-4-6</t>
  </si>
  <si>
    <t xml:space="preserve">completed</t>
  </si>
  <si>
    <t xml:space="preserve">76a601f1f3ee38ca</t>
  </si>
  <si>
    <t xml:space="preserve">none</t>
  </si>
  <si>
    <t xml:space="preserve">n/a</t>
  </si>
  <si>
    <t xml:space="preserve">08aaa6457fa034af</t>
  </si>
  <si>
    <t xml:space="preserve">True</t>
  </si>
  <si>
    <t xml:space="preserve">e525bb7aba487577</t>
  </si>
  <si>
    <t xml:space="preserve">gpt-5.6-terra</t>
  </si>
  <si>
    <t xml:space="preserve">Disclosures and ledger. Facts and status only.</t>
  </si>
  <si>
    <t xml:space="preserve">Instrument v2 boundary</t>
  </si>
  <si>
    <t xml:space="preserve">One shared generic prefix (sha16 565d11bb0247d609) plus three tails: none / trajectory format / policy grammar. Prompt sha16: unstructured 76a601f1f3ee38ca, trajectory 08aaa6457fa034af, structured request e525bb7aba487577. Prior instruments archived after the advisor ruling on vocabulary leakage.</t>
  </si>
  <si>
    <t xml:space="preserve">Vendor switch</t>
  </si>
  <si>
    <t xml:space="preserve">Gemini archived after run 1; run 2 vendors are claude-sonnet-4-6 and gpt-5.6-terra. gpt-5.6-terra accepted temperature=0 in all three cells.</t>
  </si>
  <si>
    <t xml:space="preserve">Ceiling incident</t>
  </si>
  <si>
    <t xml:space="preserve">GPT unstructured exhausted the initial 8000-token cap via hidden reasoning tokens (8000 out, 1408 visible chars); re-run at 16000 completed at 1330. Original archived as ARCHIVED_plan_unstructured_astropy__astropy-12907_gpt-5.6-terra_run1_ceiling8000.json.</t>
  </si>
  <si>
    <t xml:space="preserve">Ceiling non-uniformity</t>
  </si>
  <si>
    <t xml:space="preserve">Claude cells ran under the 8000 cap and completed at 1164 / 7451 / 2453 output tokens; the cap is non-binding for completed generations, so values are comparable. All future runs use 16000.</t>
  </si>
  <si>
    <t xml:space="preserve">Parser incident</t>
  </si>
  <si>
    <t xml:space="preserve">The run-1 fence stripper misparsed responses whose JSON strings contain code fences. Mechanical parse fields of the four trajectory / structured artifacts were recomputed in place with the corrected parser (mechanical_fields_recomputed flag); response_text untouched. Record: artifact_parser_fix/notes.txt.</t>
  </si>
  <si>
    <t xml:space="preserve">Contamination: CLAUDE unstr</t>
  </si>
  <si>
    <t xml:space="preserve">names _cstack, _cdot</t>
  </si>
  <si>
    <t xml:space="preserve">Contamination: CLAUDE traj</t>
  </si>
  <si>
    <t xml:space="preserve">names _cstack, _cdot, _coord_matrix</t>
  </si>
  <si>
    <t xml:space="preserve">Contamination: CLAUDE struct</t>
  </si>
  <si>
    <t xml:space="preserve">names _cstack</t>
  </si>
  <si>
    <t xml:space="preserve">Contamination: GPT unstr</t>
  </si>
  <si>
    <t xml:space="preserve">names _cstack (re-run; archived truncated original did not reach it)</t>
  </si>
  <si>
    <t xml:space="preserve">Contamination: GPT traj</t>
  </si>
  <si>
    <t xml:space="preserve">Contamination: GPT struct</t>
  </si>
  <si>
    <t xml:space="preserve">no repo-internal identifiers beyond the intent</t>
  </si>
  <si>
    <t xml:space="preserve">Contamination convention</t>
  </si>
  <si>
    <t xml:space="preserve">separable.py mentions are NOT contamination: derivable from the intent's own import line (locked run-1 ruling). _cstack and other internal names are disclosed as memorization.</t>
  </si>
  <si>
    <t xml:space="preserve">Cells that need your ruling before this scorecard leaves DRAFT.</t>
  </si>
  <si>
    <t xml:space="preserve">#</t>
  </si>
  <si>
    <t xml:space="preserve">Ruling</t>
  </si>
  <si>
    <t xml:space="preserve">Evidence anchor</t>
  </si>
  <si>
    <t xml:space="preserve">EF for trajectory cells</t>
  </si>
  <si>
    <t xml:space="preserve">RESOLVED: EF trajectory = 1.00 per run-1 precedent (every step carries a thought; narrowing stated). Recoverability rows 6 and 9 updated.</t>
  </si>
  <si>
    <t xml:space="preserve">GT-04 CLAUDE trajectory</t>
  </si>
  <si>
    <t xml:space="preserve">RESOLVED CONFIRMED: GT-04 CT = 1 (coverage means named; fix named in step 32 thought and done summary; zero edit_file stays a recorded observation).</t>
  </si>
  <si>
    <t xml:space="preserve">CLAUDE trajectory retry loop</t>
  </si>
  <si>
    <t xml:space="preserve">RESOLVED: precision stays scope-only; all 42 trajectory steps rel=1 (all target the issue's file and helpers); redundancy recorded as a mechanical ratio, 30/34 and 7/8, feeding the analysis-paralysis observation.</t>
  </si>
  <si>
    <t xml:space="preserve">GT-01 GPT trajectory</t>
  </si>
  <si>
    <t xml:space="preserve">RESOLVED CONFIRMED: GT-01 GPT trajectory = 0.5 (failing-test-first names reproduction; disclosed divergence from run-1 precedent).</t>
  </si>
  <si>
    <t xml:space="preserve">GT-01 CLAUDE structured</t>
  </si>
  <si>
    <t xml:space="preserve">RESOLVED CONFIRMED: GT-01 CLAUDE structured = 1 (monitor-as-reproduction: P1 captures the erroneous output).</t>
  </si>
  <si>
    <t xml:space="preserve">SIF Resource CLAUDE structured</t>
  </si>
  <si>
    <t xml:space="preserve">RESOLVED CONFIRMED: 0.5 stands per the reassembly tier. Finding recorded: nested absent from P0.resource but present in five child resource fields (P1, P2.2, P3, P3.2, P5); the qualifier was refined downward, not lost.</t>
  </si>
  <si>
    <t xml:space="preserve">SIF Context GPT structured</t>
  </si>
  <si>
    <t xml:space="preserve">RESOLVED CONFIRMED: GS context 0.5; root reads repository maintenance and no child carries production.</t>
  </si>
  <si>
    <t xml:space="preserve">SIF prose cap</t>
  </si>
  <si>
    <t xml:space="preserve">RESOLVED CONFIRMED: the 0.5 prose cap carries over from the run-1 not-a-field convention.</t>
  </si>
  <si>
    <t xml:space="preserve">GPT structured P8</t>
  </si>
  <si>
    <t xml:space="preserve">RESOLVED OVERTURNED: P8 = 0 per run-1 ruling #3, the delivery/report class. GS precision 0.88.</t>
  </si>
  <si>
    <t xml:space="preserve">Overhead timings</t>
  </si>
  <si>
    <t xml:space="preserve">RESOLVED: timings measured on the governing machine and entered (0.35 and 0.41 us traversal; O(n) baseline block added). Sheet Overhead.</t>
  </si>
  <si>
    <t xml:space="preserve">Run-1 precision rulings carried</t>
  </si>
  <si>
    <t xml:space="preserve">RESOLVED: rulings #2 and #3 carried into run 2; carve-out added for reproduction-vehicle test authoring (rel 1). Precision row: 1.00 / 1.00 / 0.80 / 0.83 / 1.00 / 0.88.</t>
  </si>
  <si>
    <t xml:space="preserve">Plan-stage precision re-ruling (meeting 2026-08-04)</t>
  </si>
  <si>
    <t xml:space="preserve">RESOLVED: beyond-intent-but-correct steps are not penalized; the LLM is the assurance engine and thorough refinement is its job. Supersedes run-1 rulings #2 and #3 and run-2 ruling #9. Four cells flipped to 1: Precision_struct C12 (P3.2), C14 (P5), H13 (P8); Precision_unstr H10 (U6). Precision is now 1.00 in all six cells. Anchors: 'you shouldn't penalize it'; 'report the updated result' (meeting transcript).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</si>
</sst>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7" min="2" style="1" width="14"/>
    <col collapsed="false" customWidth="true" hidden="false" outlineLevel="0" max="8" min="8" style="1" width="7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true" outlineLevel="0" collapsed="false">
      <c r="A5" s="4" t="s">
        <v>10</v>
      </c>
      <c r="B5" s="3" t="n">
        <f aca="false">IF(COUNT(Coverage!C6:C11)=6,AVERAGE(Coverage!C6:C11),"PENDING")</f>
        <v>0.583333333333333</v>
      </c>
      <c r="C5" s="3" t="n">
        <f aca="false">IF(COUNT(Coverage!D6:D11)=6,AVERAGE(Coverage!D6:D11),"PENDING")</f>
        <v>0.75</v>
      </c>
      <c r="D5" s="3" t="n">
        <f aca="false">IF(COUNT(Coverage!E6:E11)=6,AVERAGE(Coverage!E6:E11),"PENDING")</f>
        <v>1</v>
      </c>
      <c r="E5" s="3" t="n">
        <f aca="false">IF(COUNT(Coverage!F6:F11)=6,AVERAGE(Coverage!F6:F11),"PENDING")</f>
        <v>1</v>
      </c>
      <c r="F5" s="3" t="n">
        <f aca="false">IF(COUNT(Coverage!G6:G11)=6,AVERAGE(Coverage!G6:G11),"PENDING")</f>
        <v>0.916666666666667</v>
      </c>
      <c r="G5" s="3" t="n">
        <f aca="false">IF(COUNT(Coverage!H6:H11)=6,AVERAGE(Coverage!H6:H11),"PENDING")</f>
        <v>1</v>
      </c>
      <c r="H5" s="5" t="s">
        <v>11</v>
      </c>
    </row>
    <row r="6" customFormat="false" ht="23.25" hidden="false" customHeight="true" outlineLevel="0" collapsed="false">
      <c r="A6" s="4" t="s">
        <v>12</v>
      </c>
      <c r="B6" s="3" t="n">
        <f aca="false">IF(COUNT(Precision_unstr!C5:C16)&gt;0,ROUND(AVERAGE(Precision_unstr!C5:C16),2),"PENDING")</f>
        <v>1</v>
      </c>
      <c r="C6" s="3" t="n">
        <f aca="false">IF(COUNT(Precision_traj!E5:E38)&gt;0,ROUND(AVERAGE(Precision_traj!E5:E38),2),"PENDING")</f>
        <v>1</v>
      </c>
      <c r="D6" s="3" t="n">
        <f aca="false">IF(COUNT(Precision_struct!C6:C15)&gt;0,ROUND(AVERAGE(Precision_struct!C6:C15),2),"PENDING")</f>
        <v>1</v>
      </c>
      <c r="E6" s="3" t="n">
        <f aca="false">IF(COUNT(Precision_unstr!H5:H11)&gt;0,ROUND(AVERAGE(Precision_unstr!H5:H11),2),"PENDING")</f>
        <v>1</v>
      </c>
      <c r="F6" s="3" t="n">
        <f aca="false">IF(COUNT(Precision_traj!E42:E49)&gt;0,ROUND(AVERAGE(Precision_traj!E42:E49),2),"PENDING")</f>
        <v>1</v>
      </c>
      <c r="G6" s="3" t="n">
        <f aca="false">IF(COUNT(Precision_struct!H6:H13)&gt;0,ROUND(AVERAGE(Precision_struct!H6:H13),2),"PENDING")</f>
        <v>1</v>
      </c>
      <c r="H6" s="5" t="s">
        <v>13</v>
      </c>
    </row>
    <row r="7" customFormat="false" ht="15" hidden="false" customHeight="true" outlineLevel="0" collapsed="false">
      <c r="A7" s="4" t="s">
        <v>14</v>
      </c>
      <c r="B7" s="3" t="n">
        <f aca="false">Recoverability!D5</f>
        <v>0</v>
      </c>
      <c r="C7" s="3" t="n">
        <f aca="false">Recoverability!D6</f>
        <v>0</v>
      </c>
      <c r="D7" s="3" t="n">
        <f aca="false">Recoverability!D7</f>
        <v>1</v>
      </c>
      <c r="E7" s="3" t="n">
        <f aca="false">Recoverability!D8</f>
        <v>0</v>
      </c>
      <c r="F7" s="3" t="n">
        <f aca="false">Recoverability!D9</f>
        <v>0</v>
      </c>
      <c r="G7" s="3" t="n">
        <f aca="false">Recoverability!D10</f>
        <v>1</v>
      </c>
      <c r="H7" s="5" t="s">
        <v>15</v>
      </c>
    </row>
    <row r="8" customFormat="false" ht="15" hidden="false" customHeight="true" outlineLevel="0" collapsed="false">
      <c r="A8" s="4" t="s">
        <v>16</v>
      </c>
      <c r="B8" s="3" t="n">
        <f aca="false">Recoverability!E5</f>
        <v>0</v>
      </c>
      <c r="C8" s="3" t="n">
        <f aca="false">Recoverability!E6</f>
        <v>0</v>
      </c>
      <c r="D8" s="3" t="n">
        <f aca="false">Recoverability!E7</f>
        <v>1</v>
      </c>
      <c r="E8" s="3" t="n">
        <f aca="false">Recoverability!E8</f>
        <v>0</v>
      </c>
      <c r="F8" s="3" t="n">
        <f aca="false">Recoverability!E9</f>
        <v>0</v>
      </c>
      <c r="G8" s="3" t="n">
        <f aca="false">Recoverability!E10</f>
        <v>1</v>
      </c>
      <c r="H8" s="5" t="s">
        <v>17</v>
      </c>
    </row>
    <row r="9" customFormat="false" ht="15" hidden="false" customHeight="true" outlineLevel="0" collapsed="false">
      <c r="A9" s="4" t="s">
        <v>18</v>
      </c>
      <c r="B9" s="3" t="n">
        <f aca="false">Recoverability!F5</f>
        <v>0</v>
      </c>
      <c r="C9" s="3" t="n">
        <f aca="false">Recoverability!F6</f>
        <v>1</v>
      </c>
      <c r="D9" s="3" t="n">
        <f aca="false">Recoverability!F7</f>
        <v>1</v>
      </c>
      <c r="E9" s="3" t="n">
        <f aca="false">Recoverability!F8</f>
        <v>0</v>
      </c>
      <c r="F9" s="3" t="n">
        <f aca="false">Recoverability!F9</f>
        <v>1</v>
      </c>
      <c r="G9" s="3" t="n">
        <f aca="false">Recoverability!F10</f>
        <v>1</v>
      </c>
      <c r="H9" s="5" t="s">
        <v>19</v>
      </c>
    </row>
    <row r="10" customFormat="false" ht="15" hidden="false" customHeight="true" outlineLevel="0" collapsed="false">
      <c r="A10" s="4" t="s">
        <v>20</v>
      </c>
      <c r="B10" s="3" t="n">
        <f aca="false">SIF!B10</f>
        <v>0.3</v>
      </c>
      <c r="C10" s="3" t="n">
        <f aca="false">SIF!C10</f>
        <v>0.3</v>
      </c>
      <c r="D10" s="3" t="n">
        <f aca="false">SIF!D10</f>
        <v>0.9</v>
      </c>
      <c r="E10" s="3" t="n">
        <f aca="false">SIF!E10</f>
        <v>0.3</v>
      </c>
      <c r="F10" s="3" t="n">
        <f aca="false">SIF!F10</f>
        <v>0.3</v>
      </c>
      <c r="G10" s="3" t="n">
        <f aca="false">SIF!G10</f>
        <v>0.9</v>
      </c>
      <c r="H10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8" min="3" style="1" width="13"/>
    <col collapsed="false" customWidth="true" hidden="false" outlineLevel="0" max="9" min="9" style="1" width="60"/>
  </cols>
  <sheetData>
    <row r="1" customFormat="false" ht="15" hidden="false" customHeight="true" outlineLevel="0" collapsed="false">
      <c r="A1" s="2" t="s">
        <v>22</v>
      </c>
    </row>
    <row r="2" customFormat="false" ht="15" hidden="false" customHeight="true" outlineLevel="0" collapsed="false">
      <c r="A2" s="3" t="s">
        <v>23</v>
      </c>
    </row>
    <row r="3" customFormat="false" ht="15" hidden="false" customHeight="true" outlineLevel="0" collapsed="false">
      <c r="A3" s="3" t="s">
        <v>24</v>
      </c>
    </row>
    <row r="5" customFormat="false" ht="15" hidden="false" customHeight="true" outlineLevel="0" collapsed="false">
      <c r="A5" s="4" t="s">
        <v>25</v>
      </c>
      <c r="B5" s="4" t="s">
        <v>26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27</v>
      </c>
    </row>
    <row r="6" customFormat="false" ht="23.25" hidden="false" customHeight="true" outlineLevel="0" collapsed="false">
      <c r="A6" s="3" t="s">
        <v>28</v>
      </c>
      <c r="B6" s="5" t="s">
        <v>29</v>
      </c>
      <c r="C6" s="6" t="n">
        <v>0</v>
      </c>
      <c r="D6" s="6" t="n">
        <v>0</v>
      </c>
      <c r="E6" s="6" t="n">
        <v>1</v>
      </c>
      <c r="F6" s="6" t="n">
        <v>1</v>
      </c>
      <c r="G6" s="6" t="n">
        <v>0.5</v>
      </c>
      <c r="H6" s="6" t="n">
        <v>1</v>
      </c>
      <c r="I6" s="5" t="s">
        <v>30</v>
      </c>
    </row>
    <row r="7" customFormat="false" ht="15" hidden="false" customHeight="true" outlineLevel="0" collapsed="false">
      <c r="A7" s="3" t="s">
        <v>31</v>
      </c>
      <c r="B7" s="5" t="s">
        <v>32</v>
      </c>
      <c r="C7" s="6" t="n">
        <v>1</v>
      </c>
      <c r="D7" s="6" t="n">
        <v>1</v>
      </c>
      <c r="E7" s="6" t="n">
        <v>1</v>
      </c>
      <c r="F7" s="6" t="n">
        <v>1</v>
      </c>
      <c r="G7" s="6" t="n">
        <v>1</v>
      </c>
      <c r="H7" s="6" t="n">
        <v>1</v>
      </c>
    </row>
    <row r="8" customFormat="false" ht="15" hidden="false" customHeight="true" outlineLevel="0" collapsed="false">
      <c r="A8" s="3" t="s">
        <v>33</v>
      </c>
      <c r="B8" s="5" t="s">
        <v>34</v>
      </c>
      <c r="C8" s="6" t="n">
        <v>1</v>
      </c>
      <c r="D8" s="6" t="n">
        <v>1</v>
      </c>
      <c r="E8" s="6" t="n">
        <v>1</v>
      </c>
      <c r="F8" s="6" t="n">
        <v>1</v>
      </c>
      <c r="G8" s="6" t="n">
        <v>1</v>
      </c>
      <c r="H8" s="6" t="n">
        <v>1</v>
      </c>
    </row>
    <row r="9" customFormat="false" ht="23.25" hidden="false" customHeight="true" outlineLevel="0" collapsed="false">
      <c r="A9" s="3" t="s">
        <v>35</v>
      </c>
      <c r="B9" s="5" t="s">
        <v>36</v>
      </c>
      <c r="C9" s="6" t="n">
        <v>1</v>
      </c>
      <c r="D9" s="6" t="n">
        <v>1</v>
      </c>
      <c r="E9" s="6" t="n">
        <v>1</v>
      </c>
      <c r="F9" s="6" t="n">
        <v>1</v>
      </c>
      <c r="G9" s="6" t="n">
        <v>1</v>
      </c>
      <c r="H9" s="6" t="n">
        <v>1</v>
      </c>
      <c r="I9" s="5" t="s">
        <v>37</v>
      </c>
    </row>
    <row r="10" customFormat="false" ht="15" hidden="false" customHeight="true" outlineLevel="0" collapsed="false">
      <c r="A10" s="3" t="s">
        <v>38</v>
      </c>
      <c r="B10" s="5" t="s">
        <v>39</v>
      </c>
      <c r="C10" s="6" t="n">
        <v>0.5</v>
      </c>
      <c r="D10" s="6" t="n">
        <v>1</v>
      </c>
      <c r="E10" s="6" t="n">
        <v>1</v>
      </c>
      <c r="F10" s="6" t="n">
        <v>1</v>
      </c>
      <c r="G10" s="6" t="n">
        <v>1</v>
      </c>
      <c r="H10" s="6" t="n">
        <v>1</v>
      </c>
    </row>
    <row r="11" customFormat="false" ht="15" hidden="false" customHeight="true" outlineLevel="0" collapsed="false">
      <c r="A11" s="3" t="s">
        <v>40</v>
      </c>
      <c r="B11" s="5" t="s">
        <v>41</v>
      </c>
      <c r="C11" s="6" t="n">
        <v>0</v>
      </c>
      <c r="D11" s="6" t="n">
        <v>0.5</v>
      </c>
      <c r="E11" s="6" t="n">
        <v>1</v>
      </c>
      <c r="F11" s="6" t="n">
        <v>1</v>
      </c>
      <c r="G11" s="6" t="n">
        <v>1</v>
      </c>
      <c r="H11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5"/>
    <col collapsed="false" customWidth="true" hidden="false" outlineLevel="0" max="3" min="3" style="1" width="6"/>
    <col collapsed="false" customWidth="true" hidden="false" outlineLevel="0" max="4" min="4" style="1" width="30"/>
    <col collapsed="false" customWidth="true" hidden="false" outlineLevel="0" max="5" min="5" style="1" width="3"/>
    <col collapsed="false" customWidth="true" hidden="false" outlineLevel="0" max="6" min="6" style="1" width="8"/>
    <col collapsed="false" customWidth="true" hidden="false" outlineLevel="0" max="7" min="7" style="1" width="55"/>
    <col collapsed="false" customWidth="true" hidden="false" outlineLevel="0" max="8" min="8" style="1" width="6"/>
    <col collapsed="false" customWidth="true" hidden="false" outlineLevel="0" max="9" min="9" style="1" width="30"/>
  </cols>
  <sheetData>
    <row r="1" customFormat="false" ht="15" hidden="false" customHeight="true" outlineLevel="0" collapsed="false">
      <c r="A1" s="2" t="s">
        <v>42</v>
      </c>
    </row>
    <row r="2" customFormat="false" ht="15" hidden="false" customHeight="true" outlineLevel="0" collapsed="false">
      <c r="A2" s="5" t="s">
        <v>43</v>
      </c>
    </row>
    <row r="4" customFormat="false" ht="15" hidden="false" customHeight="true" outlineLevel="0" collapsed="false">
      <c r="A4" s="4" t="s">
        <v>44</v>
      </c>
      <c r="B4" s="4" t="s">
        <v>45</v>
      </c>
      <c r="C4" s="4" t="s">
        <v>46</v>
      </c>
      <c r="D4" s="4" t="s">
        <v>47</v>
      </c>
      <c r="F4" s="4" t="s">
        <v>48</v>
      </c>
      <c r="G4" s="4" t="s">
        <v>45</v>
      </c>
      <c r="H4" s="4" t="s">
        <v>46</v>
      </c>
      <c r="I4" s="4" t="s">
        <v>47</v>
      </c>
    </row>
    <row r="5" customFormat="false" ht="34.5" hidden="false" customHeight="true" outlineLevel="0" collapsed="false">
      <c r="A5" s="3" t="s">
        <v>49</v>
      </c>
      <c r="B5" s="5" t="s">
        <v>50</v>
      </c>
      <c r="D5" s="3" t="s">
        <v>51</v>
      </c>
      <c r="F5" s="3" t="s">
        <v>49</v>
      </c>
      <c r="G5" s="5" t="s">
        <v>52</v>
      </c>
      <c r="I5" s="3" t="s">
        <v>51</v>
      </c>
    </row>
    <row r="6" customFormat="false" ht="34.5" hidden="false" customHeight="true" outlineLevel="0" collapsed="false">
      <c r="A6" s="3" t="s">
        <v>53</v>
      </c>
      <c r="B6" s="5" t="s">
        <v>54</v>
      </c>
      <c r="C6" s="6" t="n">
        <v>1</v>
      </c>
      <c r="F6" s="3" t="s">
        <v>53</v>
      </c>
      <c r="G6" s="5" t="s">
        <v>55</v>
      </c>
      <c r="H6" s="6" t="n">
        <v>1</v>
      </c>
    </row>
    <row r="7" customFormat="false" ht="34.5" hidden="false" customHeight="true" outlineLevel="0" collapsed="false">
      <c r="A7" s="3" t="s">
        <v>56</v>
      </c>
      <c r="B7" s="5" t="s">
        <v>57</v>
      </c>
      <c r="C7" s="6" t="n">
        <v>1</v>
      </c>
      <c r="F7" s="3" t="s">
        <v>56</v>
      </c>
      <c r="G7" s="5" t="s">
        <v>58</v>
      </c>
      <c r="H7" s="6" t="n">
        <v>1</v>
      </c>
    </row>
    <row r="8" customFormat="false" ht="34.5" hidden="false" customHeight="true" outlineLevel="0" collapsed="false">
      <c r="A8" s="3" t="s">
        <v>59</v>
      </c>
      <c r="B8" s="5" t="s">
        <v>60</v>
      </c>
      <c r="C8" s="6" t="n">
        <v>1</v>
      </c>
      <c r="F8" s="3" t="s">
        <v>61</v>
      </c>
      <c r="G8" s="5" t="s">
        <v>62</v>
      </c>
      <c r="H8" s="6" t="n">
        <v>1</v>
      </c>
    </row>
    <row r="9" customFormat="false" ht="34.5" hidden="false" customHeight="true" outlineLevel="0" collapsed="false">
      <c r="A9" s="3" t="s">
        <v>63</v>
      </c>
      <c r="B9" s="5" t="s">
        <v>64</v>
      </c>
      <c r="C9" s="6" t="n">
        <v>1</v>
      </c>
      <c r="F9" s="3" t="s">
        <v>65</v>
      </c>
      <c r="G9" s="5" t="s">
        <v>66</v>
      </c>
      <c r="H9" s="6" t="n">
        <v>1</v>
      </c>
      <c r="I9" s="5" t="s">
        <v>67</v>
      </c>
    </row>
    <row r="10" customFormat="false" ht="34.5" hidden="false" customHeight="true" outlineLevel="0" collapsed="false">
      <c r="A10" s="3" t="s">
        <v>61</v>
      </c>
      <c r="B10" s="5" t="s">
        <v>68</v>
      </c>
      <c r="C10" s="6" t="n">
        <v>1</v>
      </c>
      <c r="F10" s="3" t="s">
        <v>69</v>
      </c>
      <c r="G10" s="5" t="s">
        <v>70</v>
      </c>
      <c r="H10" s="6" t="n">
        <v>1</v>
      </c>
    </row>
    <row r="11" customFormat="false" ht="34.5" hidden="false" customHeight="true" outlineLevel="0" collapsed="false">
      <c r="A11" s="3" t="s">
        <v>71</v>
      </c>
      <c r="B11" s="5" t="s">
        <v>72</v>
      </c>
      <c r="C11" s="6" t="n">
        <v>1</v>
      </c>
      <c r="F11" s="3" t="s">
        <v>73</v>
      </c>
      <c r="G11" s="5" t="s">
        <v>74</v>
      </c>
      <c r="H11" s="6" t="n">
        <v>1</v>
      </c>
    </row>
    <row r="12" customFormat="false" ht="34.5" hidden="false" customHeight="true" outlineLevel="0" collapsed="false">
      <c r="A12" s="3" t="s">
        <v>75</v>
      </c>
      <c r="B12" s="5" t="s">
        <v>76</v>
      </c>
      <c r="C12" s="6" t="n">
        <v>1</v>
      </c>
      <c r="D12" s="5" t="s">
        <v>77</v>
      </c>
      <c r="F12" s="3" t="s">
        <v>78</v>
      </c>
      <c r="G12" s="5" t="s">
        <v>79</v>
      </c>
      <c r="H12" s="6" t="n">
        <v>1</v>
      </c>
    </row>
    <row r="13" customFormat="false" ht="34.5" hidden="false" customHeight="true" outlineLevel="0" collapsed="false">
      <c r="A13" s="3" t="s">
        <v>65</v>
      </c>
      <c r="B13" s="5" t="s">
        <v>80</v>
      </c>
      <c r="C13" s="6" t="n">
        <v>1</v>
      </c>
      <c r="F13" s="3" t="s">
        <v>81</v>
      </c>
      <c r="G13" s="5" t="s">
        <v>82</v>
      </c>
      <c r="H13" s="6" t="n">
        <v>1</v>
      </c>
      <c r="I13" s="5" t="s">
        <v>83</v>
      </c>
    </row>
    <row r="14" customFormat="false" ht="34.5" hidden="false" customHeight="true" outlineLevel="0" collapsed="false">
      <c r="A14" s="3" t="s">
        <v>69</v>
      </c>
      <c r="B14" s="5" t="s">
        <v>84</v>
      </c>
      <c r="C14" s="6" t="n">
        <v>1</v>
      </c>
      <c r="D14" s="5" t="s">
        <v>77</v>
      </c>
    </row>
    <row r="15" customFormat="false" ht="23.25" hidden="false" customHeight="true" outlineLevel="0" collapsed="false">
      <c r="A15" s="3" t="s">
        <v>73</v>
      </c>
      <c r="B15" s="5" t="s">
        <v>85</v>
      </c>
      <c r="C15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70"/>
    <col collapsed="false" customWidth="true" hidden="false" outlineLevel="0" max="3" min="3" style="1" width="6"/>
    <col collapsed="false" customWidth="true" hidden="false" outlineLevel="0" max="4" min="4" style="1" width="30"/>
    <col collapsed="false" customWidth="true" hidden="false" outlineLevel="0" max="6" min="6" style="1" width="10"/>
    <col collapsed="false" customWidth="true" hidden="false" outlineLevel="0" max="7" min="7" style="1" width="70"/>
    <col collapsed="false" customWidth="true" hidden="false" outlineLevel="0" max="8" min="8" style="1" width="6"/>
    <col collapsed="false" customWidth="true" hidden="false" outlineLevel="0" max="9" min="9" style="1" width="30"/>
  </cols>
  <sheetData>
    <row r="1" customFormat="false" ht="15" hidden="false" customHeight="true" outlineLevel="0" collapsed="false">
      <c r="A1" s="2" t="s">
        <v>86</v>
      </c>
    </row>
    <row r="2" customFormat="false" ht="15" hidden="false" customHeight="true" outlineLevel="0" collapsed="false">
      <c r="A2" s="3" t="s">
        <v>87</v>
      </c>
    </row>
    <row r="4" customFormat="false" ht="15" hidden="false" customHeight="true" outlineLevel="0" collapsed="false">
      <c r="A4" s="4" t="s">
        <v>88</v>
      </c>
      <c r="B4" s="4" t="s">
        <v>89</v>
      </c>
      <c r="C4" s="4" t="s">
        <v>46</v>
      </c>
      <c r="D4" s="4" t="s">
        <v>47</v>
      </c>
      <c r="F4" s="4" t="s">
        <v>90</v>
      </c>
      <c r="G4" s="4" t="s">
        <v>89</v>
      </c>
      <c r="H4" s="4" t="s">
        <v>46</v>
      </c>
      <c r="I4" s="4" t="s">
        <v>47</v>
      </c>
    </row>
    <row r="5" customFormat="false" ht="15" hidden="false" customHeight="true" outlineLevel="0" collapsed="false">
      <c r="A5" s="3" t="s">
        <v>91</v>
      </c>
      <c r="B5" s="5" t="s">
        <v>92</v>
      </c>
      <c r="C5" s="6"/>
      <c r="D5" s="5" t="s">
        <v>93</v>
      </c>
      <c r="F5" s="3" t="s">
        <v>91</v>
      </c>
      <c r="G5" s="5" t="s">
        <v>94</v>
      </c>
      <c r="H5" s="6"/>
      <c r="I5" s="5" t="s">
        <v>95</v>
      </c>
    </row>
    <row r="6" customFormat="false" ht="15" hidden="false" customHeight="true" outlineLevel="0" collapsed="false">
      <c r="A6" s="3" t="s">
        <v>96</v>
      </c>
      <c r="B6" s="5" t="s">
        <v>97</v>
      </c>
      <c r="C6" s="6"/>
      <c r="D6" s="5" t="s">
        <v>93</v>
      </c>
      <c r="F6" s="3" t="s">
        <v>96</v>
      </c>
      <c r="G6" s="5" t="s">
        <v>98</v>
      </c>
      <c r="H6" s="6" t="n">
        <v>1</v>
      </c>
    </row>
    <row r="7" customFormat="false" ht="15" hidden="false" customHeight="true" outlineLevel="0" collapsed="false">
      <c r="A7" s="3" t="s">
        <v>99</v>
      </c>
      <c r="B7" s="5" t="s">
        <v>100</v>
      </c>
      <c r="C7" s="6" t="n">
        <v>1</v>
      </c>
      <c r="F7" s="3" t="s">
        <v>99</v>
      </c>
      <c r="G7" s="5" t="s">
        <v>101</v>
      </c>
      <c r="H7" s="6" t="n">
        <v>1</v>
      </c>
    </row>
    <row r="8" customFormat="false" ht="15" hidden="false" customHeight="true" outlineLevel="0" collapsed="false">
      <c r="A8" s="3" t="s">
        <v>102</v>
      </c>
      <c r="B8" s="5" t="s">
        <v>103</v>
      </c>
      <c r="C8" s="6" t="n">
        <v>1</v>
      </c>
      <c r="F8" s="3" t="s">
        <v>102</v>
      </c>
      <c r="G8" s="5" t="s">
        <v>104</v>
      </c>
      <c r="H8" s="6" t="n">
        <v>1</v>
      </c>
    </row>
    <row r="9" customFormat="false" ht="15" hidden="false" customHeight="true" outlineLevel="0" collapsed="false">
      <c r="A9" s="3" t="s">
        <v>105</v>
      </c>
      <c r="B9" s="5" t="s">
        <v>106</v>
      </c>
      <c r="C9" s="6" t="n">
        <v>1</v>
      </c>
      <c r="F9" s="3" t="s">
        <v>105</v>
      </c>
      <c r="G9" s="5" t="s">
        <v>107</v>
      </c>
      <c r="H9" s="6" t="n">
        <v>1</v>
      </c>
    </row>
    <row r="10" customFormat="false" ht="15" hidden="false" customHeight="true" outlineLevel="0" collapsed="false">
      <c r="A10" s="3" t="s">
        <v>108</v>
      </c>
      <c r="B10" s="5" t="s">
        <v>109</v>
      </c>
      <c r="C10" s="6" t="n">
        <v>1</v>
      </c>
      <c r="F10" s="3" t="s">
        <v>108</v>
      </c>
      <c r="G10" s="5" t="s">
        <v>110</v>
      </c>
      <c r="H10" s="6" t="n">
        <v>1</v>
      </c>
      <c r="I10" s="5" t="s">
        <v>77</v>
      </c>
    </row>
    <row r="11" customFormat="false" ht="15" hidden="false" customHeight="true" outlineLevel="0" collapsed="false">
      <c r="A11" s="3" t="s">
        <v>111</v>
      </c>
      <c r="B11" s="5" t="s">
        <v>112</v>
      </c>
      <c r="C11" s="6" t="n">
        <v>1</v>
      </c>
      <c r="F11" s="3" t="s">
        <v>111</v>
      </c>
      <c r="G11" s="5" t="s">
        <v>113</v>
      </c>
      <c r="H11" s="6" t="n">
        <v>1</v>
      </c>
    </row>
    <row r="12" customFormat="false" ht="15" hidden="false" customHeight="true" outlineLevel="0" collapsed="false">
      <c r="A12" s="3" t="s">
        <v>114</v>
      </c>
      <c r="B12" s="5" t="s">
        <v>115</v>
      </c>
      <c r="C12" s="6"/>
      <c r="D12" s="5" t="s">
        <v>93</v>
      </c>
    </row>
    <row r="13" customFormat="false" ht="15" hidden="false" customHeight="true" outlineLevel="0" collapsed="false">
      <c r="A13" s="3" t="s">
        <v>116</v>
      </c>
      <c r="B13" s="5" t="s">
        <v>117</v>
      </c>
      <c r="C13" s="6" t="n">
        <v>1</v>
      </c>
      <c r="D13" s="3" t="s">
        <v>118</v>
      </c>
    </row>
    <row r="14" customFormat="false" ht="15" hidden="false" customHeight="true" outlineLevel="0" collapsed="false">
      <c r="A14" s="3" t="s">
        <v>119</v>
      </c>
      <c r="B14" s="5" t="s">
        <v>120</v>
      </c>
      <c r="C14" s="6" t="n">
        <v>1</v>
      </c>
      <c r="D14" s="3" t="s">
        <v>118</v>
      </c>
    </row>
    <row r="15" customFormat="false" ht="15" hidden="false" customHeight="true" outlineLevel="0" collapsed="false">
      <c r="A15" s="3" t="s">
        <v>121</v>
      </c>
      <c r="B15" s="5" t="s">
        <v>122</v>
      </c>
      <c r="C15" s="6" t="n">
        <v>1</v>
      </c>
      <c r="D15" s="3" t="s">
        <v>118</v>
      </c>
    </row>
    <row r="16" customFormat="false" ht="15" hidden="false" customHeight="true" outlineLevel="0" collapsed="false">
      <c r="A16" s="3" t="s">
        <v>123</v>
      </c>
      <c r="B16" s="5" t="s">
        <v>124</v>
      </c>
      <c r="C16" s="6" t="n">
        <v>1</v>
      </c>
      <c r="D16" s="3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3"/>
    <col collapsed="false" customWidth="true" hidden="false" outlineLevel="0" max="3" min="3" style="1" width="42"/>
    <col collapsed="false" customWidth="true" hidden="false" outlineLevel="0" max="4" min="4" style="1" width="60"/>
    <col collapsed="false" customWidth="true" hidden="false" outlineLevel="0" max="5" min="5" style="1" width="6"/>
    <col collapsed="false" customWidth="true" hidden="false" outlineLevel="0" max="6" min="6" style="1" width="25"/>
  </cols>
  <sheetData>
    <row r="1" customFormat="false" ht="15" hidden="false" customHeight="true" outlineLevel="0" collapsed="false">
      <c r="A1" s="2" t="s">
        <v>125</v>
      </c>
    </row>
    <row r="2" customFormat="false" ht="15" hidden="false" customHeight="true" outlineLevel="0" collapsed="false">
      <c r="A2" s="3" t="s">
        <v>126</v>
      </c>
    </row>
    <row r="3" customFormat="false" ht="15" hidden="false" customHeight="true" outlineLevel="0" collapsed="false">
      <c r="A3" s="4" t="s">
        <v>127</v>
      </c>
    </row>
    <row r="4" customFormat="false" ht="15" hidden="false" customHeight="true" outlineLevel="0" collapsed="false">
      <c r="A4" s="4" t="s">
        <v>128</v>
      </c>
      <c r="B4" s="4" t="s">
        <v>129</v>
      </c>
      <c r="C4" s="4" t="s">
        <v>130</v>
      </c>
      <c r="D4" s="4" t="s">
        <v>131</v>
      </c>
      <c r="E4" s="4" t="s">
        <v>46</v>
      </c>
      <c r="F4" s="4" t="s">
        <v>47</v>
      </c>
    </row>
    <row r="5" customFormat="false" ht="15" hidden="false" customHeight="true" outlineLevel="0" collapsed="false">
      <c r="A5" s="3" t="n">
        <v>1</v>
      </c>
      <c r="B5" s="3" t="s">
        <v>132</v>
      </c>
      <c r="C5" s="5" t="s">
        <v>133</v>
      </c>
      <c r="D5" s="5" t="s">
        <v>134</v>
      </c>
      <c r="E5" s="6" t="n">
        <v>1</v>
      </c>
    </row>
    <row r="6" customFormat="false" ht="15" hidden="false" customHeight="true" outlineLevel="0" collapsed="false">
      <c r="A6" s="3" t="n">
        <v>2</v>
      </c>
      <c r="B6" s="3" t="s">
        <v>135</v>
      </c>
      <c r="C6" s="5" t="s">
        <v>136</v>
      </c>
      <c r="D6" s="5" t="s">
        <v>137</v>
      </c>
      <c r="E6" s="6" t="n">
        <v>1</v>
      </c>
    </row>
    <row r="7" customFormat="false" ht="15" hidden="false" customHeight="true" outlineLevel="0" collapsed="false">
      <c r="A7" s="3" t="n">
        <v>3</v>
      </c>
      <c r="B7" s="3" t="s">
        <v>135</v>
      </c>
      <c r="C7" s="5" t="s">
        <v>138</v>
      </c>
      <c r="D7" s="5" t="s">
        <v>139</v>
      </c>
      <c r="E7" s="6" t="n">
        <v>1</v>
      </c>
    </row>
    <row r="8" customFormat="false" ht="15" hidden="false" customHeight="true" outlineLevel="0" collapsed="false">
      <c r="A8" s="3" t="n">
        <v>4</v>
      </c>
      <c r="B8" s="3" t="s">
        <v>132</v>
      </c>
      <c r="C8" s="5" t="s">
        <v>133</v>
      </c>
      <c r="D8" s="5" t="s">
        <v>140</v>
      </c>
      <c r="E8" s="6" t="n">
        <v>1</v>
      </c>
    </row>
    <row r="9" customFormat="false" ht="15" hidden="false" customHeight="true" outlineLevel="0" collapsed="false">
      <c r="A9" s="3" t="n">
        <v>5</v>
      </c>
      <c r="B9" s="3" t="s">
        <v>135</v>
      </c>
      <c r="C9" s="5" t="s">
        <v>141</v>
      </c>
      <c r="D9" s="5" t="s">
        <v>142</v>
      </c>
      <c r="E9" s="6" t="n">
        <v>1</v>
      </c>
    </row>
    <row r="10" customFormat="false" ht="15" hidden="false" customHeight="true" outlineLevel="0" collapsed="false">
      <c r="A10" s="3" t="n">
        <v>6</v>
      </c>
      <c r="B10" s="3" t="s">
        <v>132</v>
      </c>
      <c r="C10" s="5" t="s">
        <v>143</v>
      </c>
      <c r="D10" s="5" t="s">
        <v>144</v>
      </c>
      <c r="E10" s="6" t="n">
        <v>1</v>
      </c>
    </row>
    <row r="11" customFormat="false" ht="15" hidden="false" customHeight="true" outlineLevel="0" collapsed="false">
      <c r="A11" s="3" t="n">
        <v>7</v>
      </c>
      <c r="B11" s="3" t="s">
        <v>132</v>
      </c>
      <c r="C11" s="5" t="s">
        <v>143</v>
      </c>
      <c r="D11" s="5" t="s">
        <v>145</v>
      </c>
      <c r="E11" s="6" t="n">
        <v>1</v>
      </c>
    </row>
    <row r="12" customFormat="false" ht="15" hidden="false" customHeight="true" outlineLevel="0" collapsed="false">
      <c r="A12" s="3" t="n">
        <v>8</v>
      </c>
      <c r="B12" s="3" t="s">
        <v>132</v>
      </c>
      <c r="C12" s="5" t="s">
        <v>143</v>
      </c>
      <c r="D12" s="5" t="s">
        <v>146</v>
      </c>
      <c r="E12" s="6" t="n">
        <v>1</v>
      </c>
    </row>
    <row r="13" customFormat="false" ht="34.5" hidden="false" customHeight="true" outlineLevel="0" collapsed="false">
      <c r="A13" s="3" t="n">
        <v>9</v>
      </c>
      <c r="B13" s="3" t="s">
        <v>132</v>
      </c>
      <c r="C13" s="5" t="s">
        <v>143</v>
      </c>
      <c r="D13" s="5" t="s">
        <v>147</v>
      </c>
      <c r="E13" s="6" t="n">
        <v>1</v>
      </c>
    </row>
    <row r="14" customFormat="false" ht="15" hidden="false" customHeight="true" outlineLevel="0" collapsed="false">
      <c r="A14" s="3" t="n">
        <v>10</v>
      </c>
      <c r="B14" s="3" t="s">
        <v>135</v>
      </c>
      <c r="C14" s="5" t="s">
        <v>148</v>
      </c>
      <c r="D14" s="5" t="s">
        <v>149</v>
      </c>
      <c r="E14" s="6" t="n">
        <v>1</v>
      </c>
    </row>
    <row r="15" customFormat="false" ht="15" hidden="false" customHeight="true" outlineLevel="0" collapsed="false">
      <c r="A15" s="3" t="n">
        <v>11</v>
      </c>
      <c r="B15" s="3" t="s">
        <v>132</v>
      </c>
      <c r="C15" s="5" t="s">
        <v>143</v>
      </c>
      <c r="D15" s="5" t="s">
        <v>150</v>
      </c>
      <c r="E15" s="6" t="n">
        <v>1</v>
      </c>
    </row>
    <row r="16" customFormat="false" ht="15" hidden="false" customHeight="true" outlineLevel="0" collapsed="false">
      <c r="A16" s="3" t="n">
        <v>12</v>
      </c>
      <c r="B16" s="3" t="s">
        <v>135</v>
      </c>
      <c r="C16" s="5" t="s">
        <v>151</v>
      </c>
      <c r="D16" s="5" t="s">
        <v>152</v>
      </c>
      <c r="E16" s="6" t="n">
        <v>1</v>
      </c>
    </row>
    <row r="17" customFormat="false" ht="15" hidden="false" customHeight="true" outlineLevel="0" collapsed="false">
      <c r="A17" s="3" t="n">
        <v>13</v>
      </c>
      <c r="B17" s="3" t="s">
        <v>132</v>
      </c>
      <c r="C17" s="5" t="s">
        <v>143</v>
      </c>
      <c r="D17" s="5" t="s">
        <v>153</v>
      </c>
      <c r="E17" s="6" t="n">
        <v>1</v>
      </c>
    </row>
    <row r="18" customFormat="false" ht="15" hidden="false" customHeight="true" outlineLevel="0" collapsed="false">
      <c r="A18" s="3" t="n">
        <v>14</v>
      </c>
      <c r="B18" s="3" t="s">
        <v>132</v>
      </c>
      <c r="C18" s="5" t="s">
        <v>143</v>
      </c>
      <c r="D18" s="5" t="s">
        <v>154</v>
      </c>
      <c r="E18" s="6" t="n">
        <v>1</v>
      </c>
    </row>
    <row r="19" customFormat="false" ht="15" hidden="false" customHeight="true" outlineLevel="0" collapsed="false">
      <c r="A19" s="3" t="n">
        <v>15</v>
      </c>
      <c r="B19" s="3" t="s">
        <v>135</v>
      </c>
      <c r="C19" s="5" t="s">
        <v>155</v>
      </c>
      <c r="D19" s="5" t="s">
        <v>156</v>
      </c>
      <c r="E19" s="6" t="n">
        <v>1</v>
      </c>
    </row>
    <row r="20" customFormat="false" ht="15" hidden="false" customHeight="true" outlineLevel="0" collapsed="false">
      <c r="A20" s="3" t="n">
        <v>16</v>
      </c>
      <c r="B20" s="3" t="s">
        <v>132</v>
      </c>
      <c r="C20" s="5" t="s">
        <v>143</v>
      </c>
      <c r="D20" s="5" t="s">
        <v>157</v>
      </c>
      <c r="E20" s="6" t="n">
        <v>1</v>
      </c>
    </row>
    <row r="21" customFormat="false" ht="15" hidden="false" customHeight="true" outlineLevel="0" collapsed="false">
      <c r="A21" s="3" t="n">
        <v>17</v>
      </c>
      <c r="B21" s="3" t="s">
        <v>135</v>
      </c>
      <c r="C21" s="5" t="s">
        <v>158</v>
      </c>
      <c r="D21" s="5" t="s">
        <v>159</v>
      </c>
      <c r="E21" s="6" t="n">
        <v>1</v>
      </c>
      <c r="F21" s="3" t="s">
        <v>160</v>
      </c>
    </row>
    <row r="22" customFormat="false" ht="15" hidden="false" customHeight="true" outlineLevel="0" collapsed="false">
      <c r="A22" s="3" t="n">
        <v>18</v>
      </c>
      <c r="B22" s="3" t="s">
        <v>135</v>
      </c>
      <c r="C22" s="5" t="s">
        <v>161</v>
      </c>
      <c r="D22" s="5" t="s">
        <v>162</v>
      </c>
      <c r="E22" s="6" t="n">
        <v>1</v>
      </c>
    </row>
    <row r="23" customFormat="false" ht="15" hidden="false" customHeight="true" outlineLevel="0" collapsed="false">
      <c r="A23" s="3" t="n">
        <v>19</v>
      </c>
      <c r="B23" s="3" t="s">
        <v>132</v>
      </c>
      <c r="C23" s="5" t="s">
        <v>143</v>
      </c>
      <c r="D23" s="5" t="s">
        <v>163</v>
      </c>
      <c r="E23" s="6" t="n">
        <v>1</v>
      </c>
    </row>
    <row r="24" customFormat="false" ht="15" hidden="false" customHeight="true" outlineLevel="0" collapsed="false">
      <c r="A24" s="3" t="n">
        <v>20</v>
      </c>
      <c r="B24" s="3" t="s">
        <v>132</v>
      </c>
      <c r="C24" s="5" t="s">
        <v>143</v>
      </c>
      <c r="D24" s="5" t="s">
        <v>164</v>
      </c>
      <c r="E24" s="6" t="n">
        <v>1</v>
      </c>
    </row>
    <row r="25" customFormat="false" ht="15" hidden="false" customHeight="true" outlineLevel="0" collapsed="false">
      <c r="A25" s="3" t="n">
        <v>21</v>
      </c>
      <c r="B25" s="3" t="s">
        <v>135</v>
      </c>
      <c r="C25" s="5" t="s">
        <v>165</v>
      </c>
      <c r="D25" s="5" t="s">
        <v>166</v>
      </c>
      <c r="E25" s="6" t="n">
        <v>1</v>
      </c>
    </row>
    <row r="26" customFormat="false" ht="15" hidden="false" customHeight="true" outlineLevel="0" collapsed="false">
      <c r="A26" s="3" t="n">
        <v>22</v>
      </c>
      <c r="B26" s="3" t="s">
        <v>132</v>
      </c>
      <c r="C26" s="5" t="s">
        <v>133</v>
      </c>
      <c r="D26" s="5" t="s">
        <v>167</v>
      </c>
      <c r="E26" s="6" t="n">
        <v>1</v>
      </c>
    </row>
    <row r="27" customFormat="false" ht="15" hidden="false" customHeight="true" outlineLevel="0" collapsed="false">
      <c r="A27" s="3" t="n">
        <v>23</v>
      </c>
      <c r="B27" s="3" t="s">
        <v>132</v>
      </c>
      <c r="C27" s="5" t="s">
        <v>143</v>
      </c>
      <c r="D27" s="5" t="s">
        <v>168</v>
      </c>
      <c r="E27" s="6" t="n">
        <v>1</v>
      </c>
    </row>
    <row r="28" customFormat="false" ht="15" hidden="false" customHeight="true" outlineLevel="0" collapsed="false">
      <c r="A28" s="3" t="n">
        <v>24</v>
      </c>
      <c r="B28" s="3" t="s">
        <v>135</v>
      </c>
      <c r="C28" s="5" t="s">
        <v>169</v>
      </c>
      <c r="D28" s="5" t="s">
        <v>170</v>
      </c>
      <c r="E28" s="6" t="n">
        <v>1</v>
      </c>
      <c r="F28" s="3" t="s">
        <v>171</v>
      </c>
    </row>
    <row r="29" customFormat="false" ht="15" hidden="false" customHeight="true" outlineLevel="0" collapsed="false">
      <c r="A29" s="3" t="n">
        <v>25</v>
      </c>
      <c r="B29" s="3" t="s">
        <v>135</v>
      </c>
      <c r="C29" s="5" t="s">
        <v>172</v>
      </c>
      <c r="D29" s="5" t="s">
        <v>173</v>
      </c>
      <c r="E29" s="6" t="n">
        <v>1</v>
      </c>
    </row>
    <row r="30" customFormat="false" ht="15" hidden="false" customHeight="true" outlineLevel="0" collapsed="false">
      <c r="A30" s="3" t="n">
        <v>26</v>
      </c>
      <c r="B30" s="3" t="s">
        <v>135</v>
      </c>
      <c r="C30" s="5" t="s">
        <v>174</v>
      </c>
      <c r="D30" s="5" t="s">
        <v>175</v>
      </c>
      <c r="E30" s="6" t="n">
        <v>1</v>
      </c>
    </row>
    <row r="31" customFormat="false" ht="15" hidden="false" customHeight="true" outlineLevel="0" collapsed="false">
      <c r="A31" s="3" t="n">
        <v>27</v>
      </c>
      <c r="B31" s="3" t="s">
        <v>135</v>
      </c>
      <c r="C31" s="5" t="s">
        <v>176</v>
      </c>
      <c r="D31" s="5" t="s">
        <v>177</v>
      </c>
      <c r="E31" s="6" t="n">
        <v>1</v>
      </c>
    </row>
    <row r="32" customFormat="false" ht="15" hidden="false" customHeight="true" outlineLevel="0" collapsed="false">
      <c r="A32" s="3" t="n">
        <v>28</v>
      </c>
      <c r="B32" s="3" t="s">
        <v>132</v>
      </c>
      <c r="C32" s="5" t="s">
        <v>143</v>
      </c>
      <c r="D32" s="5" t="s">
        <v>178</v>
      </c>
      <c r="E32" s="6" t="n">
        <v>1</v>
      </c>
    </row>
    <row r="33" customFormat="false" ht="15" hidden="false" customHeight="true" outlineLevel="0" collapsed="false">
      <c r="A33" s="3" t="n">
        <v>29</v>
      </c>
      <c r="B33" s="3" t="s">
        <v>135</v>
      </c>
      <c r="C33" s="5" t="s">
        <v>179</v>
      </c>
      <c r="D33" s="5" t="s">
        <v>180</v>
      </c>
      <c r="E33" s="6" t="n">
        <v>1</v>
      </c>
      <c r="F33" s="3" t="s">
        <v>181</v>
      </c>
    </row>
    <row r="34" customFormat="false" ht="15" hidden="false" customHeight="true" outlineLevel="0" collapsed="false">
      <c r="A34" s="3" t="n">
        <v>30</v>
      </c>
      <c r="B34" s="3" t="s">
        <v>135</v>
      </c>
      <c r="C34" s="5" t="s">
        <v>182</v>
      </c>
      <c r="D34" s="5" t="s">
        <v>183</v>
      </c>
      <c r="E34" s="6" t="n">
        <v>1</v>
      </c>
    </row>
    <row r="35" customFormat="false" ht="15" hidden="false" customHeight="true" outlineLevel="0" collapsed="false">
      <c r="A35" s="3" t="n">
        <v>31</v>
      </c>
      <c r="B35" s="3" t="s">
        <v>132</v>
      </c>
      <c r="C35" s="5" t="s">
        <v>184</v>
      </c>
      <c r="D35" s="5" t="s">
        <v>185</v>
      </c>
      <c r="E35" s="6" t="n">
        <v>1</v>
      </c>
    </row>
    <row r="36" customFormat="false" ht="15" hidden="false" customHeight="true" outlineLevel="0" collapsed="false">
      <c r="A36" s="3" t="n">
        <v>32</v>
      </c>
      <c r="B36" s="3" t="s">
        <v>132</v>
      </c>
      <c r="C36" s="5" t="s">
        <v>143</v>
      </c>
      <c r="D36" s="5" t="s">
        <v>186</v>
      </c>
      <c r="E36" s="6" t="n">
        <v>1</v>
      </c>
    </row>
    <row r="37" customFormat="false" ht="15" hidden="false" customHeight="true" outlineLevel="0" collapsed="false">
      <c r="A37" s="3" t="n">
        <v>33</v>
      </c>
      <c r="B37" s="3" t="s">
        <v>135</v>
      </c>
      <c r="C37" s="5" t="s">
        <v>187</v>
      </c>
      <c r="D37" s="5" t="s">
        <v>188</v>
      </c>
      <c r="E37" s="6" t="n">
        <v>1</v>
      </c>
      <c r="F37" s="3" t="s">
        <v>189</v>
      </c>
    </row>
    <row r="38" customFormat="false" ht="15" hidden="false" customHeight="true" outlineLevel="0" collapsed="false">
      <c r="A38" s="3" t="n">
        <v>34</v>
      </c>
      <c r="B38" s="3" t="s">
        <v>190</v>
      </c>
      <c r="C38" s="5" t="s">
        <v>191</v>
      </c>
      <c r="D38" s="5" t="s">
        <v>192</v>
      </c>
      <c r="E38" s="6" t="n">
        <v>1</v>
      </c>
    </row>
    <row r="40" customFormat="false" ht="15" hidden="false" customHeight="true" outlineLevel="0" collapsed="false">
      <c r="A40" s="4" t="s">
        <v>193</v>
      </c>
    </row>
    <row r="41" customFormat="false" ht="15" hidden="false" customHeight="true" outlineLevel="0" collapsed="false">
      <c r="A41" s="4" t="s">
        <v>128</v>
      </c>
      <c r="B41" s="4" t="s">
        <v>129</v>
      </c>
      <c r="C41" s="4" t="s">
        <v>130</v>
      </c>
      <c r="D41" s="4" t="s">
        <v>131</v>
      </c>
      <c r="E41" s="4" t="s">
        <v>46</v>
      </c>
      <c r="F41" s="4" t="s">
        <v>47</v>
      </c>
    </row>
    <row r="42" customFormat="false" ht="15" hidden="false" customHeight="true" outlineLevel="0" collapsed="false">
      <c r="A42" s="3" t="n">
        <v>1</v>
      </c>
      <c r="B42" s="3" t="s">
        <v>135</v>
      </c>
      <c r="C42" s="5" t="s">
        <v>194</v>
      </c>
      <c r="D42" s="5" t="s">
        <v>195</v>
      </c>
      <c r="E42" s="6" t="n">
        <v>1</v>
      </c>
    </row>
    <row r="43" customFormat="false" ht="15" hidden="false" customHeight="true" outlineLevel="0" collapsed="false">
      <c r="A43" s="3" t="n">
        <v>2</v>
      </c>
      <c r="B43" s="3" t="s">
        <v>132</v>
      </c>
      <c r="C43" s="5" t="s">
        <v>133</v>
      </c>
      <c r="D43" s="5" t="s">
        <v>196</v>
      </c>
      <c r="E43" s="6" t="n">
        <v>1</v>
      </c>
    </row>
    <row r="44" customFormat="false" ht="15" hidden="false" customHeight="true" outlineLevel="0" collapsed="false">
      <c r="A44" s="3" t="n">
        <v>3</v>
      </c>
      <c r="B44" s="3" t="s">
        <v>135</v>
      </c>
      <c r="C44" s="5" t="s">
        <v>197</v>
      </c>
      <c r="D44" s="5" t="s">
        <v>198</v>
      </c>
      <c r="E44" s="6" t="n">
        <v>1</v>
      </c>
    </row>
    <row r="45" customFormat="false" ht="15" hidden="false" customHeight="true" outlineLevel="0" collapsed="false">
      <c r="A45" s="3" t="n">
        <v>4</v>
      </c>
      <c r="B45" s="3" t="s">
        <v>132</v>
      </c>
      <c r="C45" s="5" t="s">
        <v>184</v>
      </c>
      <c r="D45" s="5" t="s">
        <v>199</v>
      </c>
      <c r="E45" s="6" t="n">
        <v>1</v>
      </c>
    </row>
    <row r="46" customFormat="false" ht="15" hidden="false" customHeight="true" outlineLevel="0" collapsed="false">
      <c r="A46" s="3" t="n">
        <v>5</v>
      </c>
      <c r="B46" s="3" t="s">
        <v>132</v>
      </c>
      <c r="C46" s="5" t="s">
        <v>133</v>
      </c>
      <c r="D46" s="5" t="s">
        <v>200</v>
      </c>
      <c r="E46" s="6" t="n">
        <v>1</v>
      </c>
    </row>
    <row r="47" customFormat="false" ht="15" hidden="false" customHeight="true" outlineLevel="0" collapsed="false">
      <c r="A47" s="3" t="n">
        <v>6</v>
      </c>
      <c r="B47" s="3" t="s">
        <v>201</v>
      </c>
      <c r="C47" s="5" t="s">
        <v>184</v>
      </c>
      <c r="D47" s="5" t="s">
        <v>202</v>
      </c>
      <c r="E47" s="6" t="n">
        <v>1</v>
      </c>
    </row>
    <row r="48" customFormat="false" ht="15" hidden="false" customHeight="true" outlineLevel="0" collapsed="false">
      <c r="A48" s="3" t="n">
        <v>7</v>
      </c>
      <c r="B48" s="3" t="s">
        <v>201</v>
      </c>
      <c r="C48" s="5" t="s">
        <v>203</v>
      </c>
      <c r="D48" s="5" t="s">
        <v>204</v>
      </c>
      <c r="E48" s="6" t="n">
        <v>1</v>
      </c>
    </row>
    <row r="49" customFormat="false" ht="15" hidden="false" customHeight="true" outlineLevel="0" collapsed="false">
      <c r="A49" s="3" t="n">
        <v>8</v>
      </c>
      <c r="B49" s="3" t="s">
        <v>190</v>
      </c>
      <c r="C49" s="5" t="s">
        <v>205</v>
      </c>
      <c r="D49" s="5" t="s">
        <v>206</v>
      </c>
      <c r="E49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6" min="4" style="1" width="7"/>
    <col collapsed="false" customWidth="true" hidden="false" outlineLevel="0" max="7" min="7" style="1" width="78"/>
  </cols>
  <sheetData>
    <row r="1" customFormat="false" ht="15" hidden="false" customHeight="true" outlineLevel="0" collapsed="false">
      <c r="A1" s="2" t="s">
        <v>207</v>
      </c>
    </row>
    <row r="2" customFormat="false" ht="15" hidden="false" customHeight="true" outlineLevel="0" collapsed="false">
      <c r="A2" s="3" t="s">
        <v>208</v>
      </c>
    </row>
    <row r="4" customFormat="false" ht="15" hidden="false" customHeight="true" outlineLevel="0" collapsed="false">
      <c r="A4" s="4" t="s">
        <v>209</v>
      </c>
      <c r="B4" s="4" t="s">
        <v>210</v>
      </c>
      <c r="C4" s="4" t="s">
        <v>211</v>
      </c>
      <c r="D4" s="4" t="s">
        <v>14</v>
      </c>
      <c r="E4" s="4" t="s">
        <v>16</v>
      </c>
      <c r="F4" s="4" t="s">
        <v>18</v>
      </c>
      <c r="G4" s="4" t="s">
        <v>212</v>
      </c>
    </row>
    <row r="5" customFormat="false" ht="23.25" hidden="false" customHeight="true" outlineLevel="0" collapsed="false">
      <c r="A5" s="3" t="s">
        <v>213</v>
      </c>
      <c r="B5" s="3" t="s">
        <v>214</v>
      </c>
      <c r="C5" s="3" t="s">
        <v>215</v>
      </c>
      <c r="D5" s="6" t="n">
        <v>0</v>
      </c>
      <c r="E5" s="6" t="n">
        <v>0</v>
      </c>
      <c r="F5" s="6" t="n">
        <v>0</v>
      </c>
      <c r="G5" s="5" t="s">
        <v>216</v>
      </c>
    </row>
    <row r="6" customFormat="false" ht="23.25" hidden="false" customHeight="true" outlineLevel="0" collapsed="false">
      <c r="A6" s="3" t="s">
        <v>217</v>
      </c>
      <c r="B6" s="3" t="s">
        <v>214</v>
      </c>
      <c r="C6" s="3" t="s">
        <v>218</v>
      </c>
      <c r="D6" s="6" t="n">
        <v>0</v>
      </c>
      <c r="E6" s="6" t="n">
        <v>0</v>
      </c>
      <c r="F6" s="6" t="n">
        <v>1</v>
      </c>
      <c r="G6" s="5" t="s">
        <v>219</v>
      </c>
    </row>
    <row r="7" customFormat="false" ht="23.25" hidden="false" customHeight="true" outlineLevel="0" collapsed="false">
      <c r="A7" s="3" t="s">
        <v>220</v>
      </c>
      <c r="B7" s="3" t="s">
        <v>214</v>
      </c>
      <c r="C7" s="3" t="s">
        <v>221</v>
      </c>
      <c r="D7" s="6" t="n">
        <v>1</v>
      </c>
      <c r="E7" s="6" t="n">
        <v>1</v>
      </c>
      <c r="F7" s="6" t="n">
        <v>1</v>
      </c>
      <c r="G7" s="5" t="s">
        <v>222</v>
      </c>
    </row>
    <row r="8" customFormat="false" ht="15" hidden="false" customHeight="true" outlineLevel="0" collapsed="false">
      <c r="A8" s="3" t="s">
        <v>223</v>
      </c>
      <c r="B8" s="3" t="s">
        <v>214</v>
      </c>
      <c r="C8" s="3" t="s">
        <v>215</v>
      </c>
      <c r="D8" s="6" t="n">
        <v>0</v>
      </c>
      <c r="E8" s="6" t="n">
        <v>0</v>
      </c>
      <c r="F8" s="6" t="n">
        <v>0</v>
      </c>
      <c r="G8" s="5" t="s">
        <v>224</v>
      </c>
    </row>
    <row r="9" customFormat="false" ht="15" hidden="false" customHeight="true" outlineLevel="0" collapsed="false">
      <c r="A9" s="3" t="s">
        <v>225</v>
      </c>
      <c r="B9" s="3" t="s">
        <v>214</v>
      </c>
      <c r="C9" s="3" t="s">
        <v>226</v>
      </c>
      <c r="D9" s="6" t="n">
        <v>0</v>
      </c>
      <c r="E9" s="6" t="n">
        <v>0</v>
      </c>
      <c r="F9" s="6" t="n">
        <v>1</v>
      </c>
      <c r="G9" s="5" t="s">
        <v>219</v>
      </c>
    </row>
    <row r="10" customFormat="false" ht="15" hidden="false" customHeight="true" outlineLevel="0" collapsed="false">
      <c r="A10" s="3" t="s">
        <v>227</v>
      </c>
      <c r="B10" s="3" t="s">
        <v>214</v>
      </c>
      <c r="C10" s="3" t="s">
        <v>228</v>
      </c>
      <c r="D10" s="6" t="n">
        <v>1</v>
      </c>
      <c r="E10" s="6" t="n">
        <v>1</v>
      </c>
      <c r="F10" s="6" t="n">
        <v>1</v>
      </c>
      <c r="G10" s="5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7" min="2" style="1" width="13"/>
    <col collapsed="false" customWidth="true" hidden="false" outlineLevel="0" max="8" min="8" style="1" width="60"/>
  </cols>
  <sheetData>
    <row r="1" customFormat="false" ht="15" hidden="false" customHeight="true" outlineLevel="0" collapsed="false">
      <c r="A1" s="2" t="s">
        <v>230</v>
      </c>
    </row>
    <row r="2" customFormat="false" ht="15" hidden="false" customHeight="true" outlineLevel="0" collapsed="false">
      <c r="A2" s="3" t="s">
        <v>231</v>
      </c>
    </row>
    <row r="4" customFormat="false" ht="15" hidden="false" customHeight="true" outlineLevel="0" collapsed="false">
      <c r="A4" s="4" t="s">
        <v>232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27</v>
      </c>
    </row>
    <row r="5" customFormat="false" ht="15" hidden="false" customHeight="true" outlineLevel="0" collapsed="false">
      <c r="A5" s="3" t="s">
        <v>233</v>
      </c>
      <c r="B5" s="6" t="n">
        <v>0.5</v>
      </c>
      <c r="C5" s="6" t="n">
        <v>0.5</v>
      </c>
      <c r="D5" s="6" t="n">
        <v>1</v>
      </c>
      <c r="E5" s="6" t="n">
        <v>0.5</v>
      </c>
      <c r="F5" s="6" t="n">
        <v>0.5</v>
      </c>
      <c r="G5" s="6" t="n">
        <v>1</v>
      </c>
      <c r="H5" s="5" t="s">
        <v>234</v>
      </c>
    </row>
    <row r="6" customFormat="false" ht="15" hidden="false" customHeight="true" outlineLevel="0" collapsed="false">
      <c r="A6" s="3" t="s">
        <v>235</v>
      </c>
      <c r="B6" s="6" t="n">
        <v>0.5</v>
      </c>
      <c r="C6" s="6" t="n">
        <v>0.5</v>
      </c>
      <c r="D6" s="6" t="n">
        <v>0.5</v>
      </c>
      <c r="E6" s="6" t="n">
        <v>0.5</v>
      </c>
      <c r="F6" s="6" t="n">
        <v>0.5</v>
      </c>
      <c r="G6" s="6" t="n">
        <v>1</v>
      </c>
    </row>
    <row r="7" customFormat="false" ht="15" hidden="false" customHeight="true" outlineLevel="0" collapsed="false">
      <c r="A7" s="3" t="s">
        <v>236</v>
      </c>
      <c r="B7" s="6" t="n">
        <v>0.5</v>
      </c>
      <c r="C7" s="6" t="n">
        <v>0.5</v>
      </c>
      <c r="D7" s="6" t="n">
        <v>1</v>
      </c>
      <c r="E7" s="6" t="n">
        <v>0.5</v>
      </c>
      <c r="F7" s="6" t="n">
        <v>0.5</v>
      </c>
      <c r="G7" s="6" t="n">
        <v>1</v>
      </c>
    </row>
    <row r="8" customFormat="false" ht="15" hidden="false" customHeight="true" outlineLevel="0" collapsed="false">
      <c r="A8" s="3" t="s">
        <v>237</v>
      </c>
      <c r="B8" s="6" t="n">
        <v>0</v>
      </c>
      <c r="C8" s="6" t="n">
        <v>0</v>
      </c>
      <c r="D8" s="6" t="n">
        <v>1</v>
      </c>
      <c r="E8" s="6" t="n">
        <v>0</v>
      </c>
      <c r="F8" s="6" t="n">
        <v>0</v>
      </c>
      <c r="G8" s="6" t="n">
        <v>1</v>
      </c>
    </row>
    <row r="9" customFormat="false" ht="15" hidden="false" customHeight="true" outlineLevel="0" collapsed="false">
      <c r="A9" s="3" t="s">
        <v>238</v>
      </c>
      <c r="B9" s="6" t="n">
        <v>0</v>
      </c>
      <c r="C9" s="6" t="n">
        <v>0</v>
      </c>
      <c r="D9" s="6" t="n">
        <v>1</v>
      </c>
      <c r="E9" s="6" t="n">
        <v>0</v>
      </c>
      <c r="F9" s="6" t="n">
        <v>0</v>
      </c>
      <c r="G9" s="6" t="n">
        <v>0.5</v>
      </c>
    </row>
    <row r="10" customFormat="false" ht="15" hidden="false" customHeight="true" outlineLevel="0" collapsed="false">
      <c r="A10" s="4" t="s">
        <v>239</v>
      </c>
      <c r="B10" s="3" t="n">
        <f aca="false">IF(COUNT(B5:B9)=5,AVERAGE(B5:B9),"PENDING")</f>
        <v>0.3</v>
      </c>
      <c r="C10" s="3" t="n">
        <f aca="false">IF(COUNT(C5:C9)=5,AVERAGE(C5:C9),"PENDING")</f>
        <v>0.3</v>
      </c>
      <c r="D10" s="3" t="n">
        <f aca="false">IF(COUNT(D5:D9)=5,AVERAGE(D5:D9),"PENDING")</f>
        <v>0.9</v>
      </c>
      <c r="E10" s="3" t="n">
        <f aca="false">IF(COUNT(E5:E9)=5,AVERAGE(E5:E9),"PENDING")</f>
        <v>0.3</v>
      </c>
      <c r="F10" s="3" t="n">
        <f aca="false">IF(COUNT(F5:F9)=5,AVERAGE(F5:F9),"PENDING")</f>
        <v>0.3</v>
      </c>
      <c r="G10" s="3" t="n">
        <f aca="false">IF(COUNT(G5:G9)=5,AVERAGE(G5:G9),"PENDING")</f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2"/>
    <col collapsed="false" customWidth="true" hidden="false" outlineLevel="0" max="6" min="3" style="1" width="46"/>
  </cols>
  <sheetData>
    <row r="1" customFormat="false" ht="15" hidden="false" customHeight="true" outlineLevel="0" collapsed="false">
      <c r="A1" s="2" t="s">
        <v>240</v>
      </c>
    </row>
    <row r="3" customFormat="false" ht="15" hidden="false" customHeight="true" outlineLevel="0" collapsed="false">
      <c r="A3" s="4" t="s">
        <v>232</v>
      </c>
      <c r="B3" s="4" t="s">
        <v>241</v>
      </c>
      <c r="C3" s="4" t="s">
        <v>242</v>
      </c>
      <c r="D3" s="4" t="s">
        <v>243</v>
      </c>
      <c r="E3" s="4" t="s">
        <v>244</v>
      </c>
      <c r="F3" s="4" t="s">
        <v>245</v>
      </c>
    </row>
    <row r="4" customFormat="false" ht="15" hidden="false" customHeight="true" outlineLevel="0" collapsed="false">
      <c r="A4" s="3" t="s">
        <v>233</v>
      </c>
      <c r="B4" s="5" t="s">
        <v>246</v>
      </c>
      <c r="C4" s="5" t="s">
        <v>246</v>
      </c>
      <c r="D4" s="5" t="s">
        <v>247</v>
      </c>
      <c r="E4" s="7" t="s">
        <v>248</v>
      </c>
      <c r="F4" s="7" t="s">
        <v>249</v>
      </c>
    </row>
    <row r="5" customFormat="false" ht="23.25" hidden="false" customHeight="true" outlineLevel="0" collapsed="false">
      <c r="A5" s="3" t="s">
        <v>235</v>
      </c>
      <c r="B5" s="5" t="s">
        <v>250</v>
      </c>
      <c r="C5" s="5" t="s">
        <v>251</v>
      </c>
      <c r="D5" s="5" t="s">
        <v>252</v>
      </c>
      <c r="E5" s="7" t="s">
        <v>253</v>
      </c>
      <c r="F5" s="7" t="s">
        <v>254</v>
      </c>
    </row>
    <row r="6" customFormat="false" ht="15" hidden="false" customHeight="true" outlineLevel="0" collapsed="false">
      <c r="A6" s="3" t="s">
        <v>236</v>
      </c>
      <c r="B6" s="5" t="s">
        <v>255</v>
      </c>
      <c r="C6" s="5" t="s">
        <v>256</v>
      </c>
      <c r="D6" s="5" t="s">
        <v>257</v>
      </c>
      <c r="E6" s="7" t="s">
        <v>258</v>
      </c>
      <c r="F6" s="7" t="s">
        <v>259</v>
      </c>
    </row>
    <row r="7" customFormat="false" ht="15" hidden="false" customHeight="true" outlineLevel="0" collapsed="false">
      <c r="A7" s="3" t="s">
        <v>237</v>
      </c>
      <c r="B7" s="5" t="s">
        <v>260</v>
      </c>
      <c r="C7" s="5" t="s">
        <v>260</v>
      </c>
      <c r="D7" s="5" t="s">
        <v>260</v>
      </c>
      <c r="E7" s="7" t="s">
        <v>261</v>
      </c>
      <c r="F7" s="7" t="s">
        <v>261</v>
      </c>
    </row>
    <row r="8" customFormat="false" ht="15" hidden="false" customHeight="true" outlineLevel="0" collapsed="false">
      <c r="A8" s="3" t="s">
        <v>238</v>
      </c>
      <c r="B8" s="5" t="s">
        <v>262</v>
      </c>
      <c r="C8" s="5" t="s">
        <v>262</v>
      </c>
      <c r="D8" s="5" t="s">
        <v>263</v>
      </c>
      <c r="E8" s="7" t="s">
        <v>261</v>
      </c>
      <c r="F8" s="7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4"/>
    <col collapsed="false" customWidth="true" hidden="false" outlineLevel="0" max="3" min="3" style="1" width="9"/>
    <col collapsed="false" customWidth="true" hidden="false" outlineLevel="0" max="4" min="4" style="1" width="58"/>
    <col collapsed="false" customWidth="true" hidden="false" outlineLevel="0" max="5" min="5" style="1" width="62"/>
    <col collapsed="false" customWidth="true" hidden="false" outlineLevel="0" max="6" min="6" style="1" width="10"/>
  </cols>
  <sheetData>
    <row r="1" customFormat="false" ht="15" hidden="false" customHeight="true" outlineLevel="0" collapsed="false">
      <c r="A1" s="2" t="s">
        <v>264</v>
      </c>
    </row>
    <row r="2" customFormat="false" ht="15" hidden="false" customHeight="true" outlineLevel="0" collapsed="false">
      <c r="A2" s="3" t="s">
        <v>265</v>
      </c>
    </row>
    <row r="4" customFormat="false" ht="15" hidden="false" customHeight="true" outlineLevel="0" collapsed="false">
      <c r="A4" s="4" t="s">
        <v>266</v>
      </c>
      <c r="B4" s="4" t="s">
        <v>267</v>
      </c>
      <c r="C4" s="4" t="s">
        <v>268</v>
      </c>
      <c r="D4" s="4" t="s">
        <v>9</v>
      </c>
      <c r="E4" s="4" t="s">
        <v>269</v>
      </c>
      <c r="F4" s="4" t="s">
        <v>270</v>
      </c>
    </row>
    <row r="5" customFormat="false" ht="23.25" hidden="false" customHeight="true" outlineLevel="0" collapsed="false">
      <c r="A5" s="3" t="s">
        <v>271</v>
      </c>
      <c r="B5" s="5" t="s">
        <v>272</v>
      </c>
      <c r="C5" s="3" t="n">
        <v>0</v>
      </c>
      <c r="D5" s="5" t="s">
        <v>273</v>
      </c>
      <c r="E5" s="5" t="s">
        <v>274</v>
      </c>
      <c r="F5" s="3" t="s">
        <v>275</v>
      </c>
    </row>
    <row r="6" customFormat="false" ht="23.25" hidden="false" customHeight="true" outlineLevel="0" collapsed="false">
      <c r="A6" s="3" t="s">
        <v>276</v>
      </c>
      <c r="B6" s="5" t="s">
        <v>272</v>
      </c>
      <c r="C6" s="3" t="n">
        <v>1</v>
      </c>
      <c r="D6" s="5" t="s">
        <v>277</v>
      </c>
      <c r="E6" s="5" t="s">
        <v>278</v>
      </c>
      <c r="F6" s="3" t="s">
        <v>275</v>
      </c>
    </row>
    <row r="7" customFormat="false" ht="23.25" hidden="false" customHeight="true" outlineLevel="0" collapsed="false">
      <c r="A7" s="3" t="s">
        <v>279</v>
      </c>
      <c r="B7" s="5" t="s">
        <v>272</v>
      </c>
      <c r="C7" s="3" t="n">
        <v>1</v>
      </c>
      <c r="D7" s="5" t="s">
        <v>280</v>
      </c>
      <c r="E7" s="5" t="s">
        <v>281</v>
      </c>
      <c r="F7" s="3" t="s">
        <v>275</v>
      </c>
    </row>
    <row r="8" customFormat="false" ht="23.25" hidden="false" customHeight="true" outlineLevel="0" collapsed="false">
      <c r="A8" s="3" t="s">
        <v>282</v>
      </c>
      <c r="B8" s="5" t="s">
        <v>272</v>
      </c>
      <c r="C8" s="3" t="n">
        <v>1</v>
      </c>
      <c r="D8" s="5" t="s">
        <v>283</v>
      </c>
      <c r="E8" s="5" t="s">
        <v>284</v>
      </c>
      <c r="F8" s="3" t="s">
        <v>275</v>
      </c>
    </row>
    <row r="9" customFormat="false" ht="23.25" hidden="false" customHeight="true" outlineLevel="0" collapsed="false">
      <c r="A9" s="3" t="s">
        <v>285</v>
      </c>
      <c r="B9" s="5" t="s">
        <v>272</v>
      </c>
      <c r="C9" s="3" t="n">
        <v>0.5</v>
      </c>
      <c r="D9" s="5" t="s">
        <v>286</v>
      </c>
      <c r="E9" s="5" t="s">
        <v>287</v>
      </c>
      <c r="F9" s="3" t="s">
        <v>275</v>
      </c>
    </row>
    <row r="10" customFormat="false" ht="23.25" hidden="false" customHeight="true" outlineLevel="0" collapsed="false">
      <c r="A10" s="3" t="s">
        <v>288</v>
      </c>
      <c r="B10" s="5" t="s">
        <v>272</v>
      </c>
      <c r="C10" s="3" t="n">
        <v>0</v>
      </c>
      <c r="D10" s="5" t="s">
        <v>289</v>
      </c>
      <c r="E10" s="5" t="s">
        <v>290</v>
      </c>
      <c r="F10" s="3" t="s">
        <v>275</v>
      </c>
    </row>
    <row r="11" customFormat="false" ht="23.25" hidden="false" customHeight="true" outlineLevel="0" collapsed="false">
      <c r="A11" s="3" t="s">
        <v>291</v>
      </c>
      <c r="B11" s="5" t="s">
        <v>292</v>
      </c>
      <c r="C11" s="3" t="n">
        <v>0</v>
      </c>
      <c r="D11" s="5" t="s">
        <v>293</v>
      </c>
      <c r="E11" s="5" t="s">
        <v>294</v>
      </c>
      <c r="F11" s="3" t="s">
        <v>275</v>
      </c>
    </row>
    <row r="12" customFormat="false" ht="23.25" hidden="false" customHeight="true" outlineLevel="0" collapsed="false">
      <c r="A12" s="3" t="s">
        <v>295</v>
      </c>
      <c r="B12" s="5" t="s">
        <v>292</v>
      </c>
      <c r="C12" s="3" t="n">
        <v>1</v>
      </c>
      <c r="D12" s="5" t="s">
        <v>296</v>
      </c>
      <c r="E12" s="5" t="s">
        <v>297</v>
      </c>
      <c r="F12" s="3" t="s">
        <v>275</v>
      </c>
    </row>
    <row r="13" customFormat="false" ht="23.25" hidden="false" customHeight="true" outlineLevel="0" collapsed="false">
      <c r="A13" s="3" t="s">
        <v>298</v>
      </c>
      <c r="B13" s="5" t="s">
        <v>292</v>
      </c>
      <c r="C13" s="3" t="n">
        <v>1</v>
      </c>
      <c r="D13" s="5" t="s">
        <v>299</v>
      </c>
      <c r="E13" s="5" t="s">
        <v>300</v>
      </c>
      <c r="F13" s="3" t="s">
        <v>275</v>
      </c>
    </row>
    <row r="14" customFormat="false" ht="23.25" hidden="false" customHeight="true" outlineLevel="0" collapsed="false">
      <c r="A14" s="3" t="s">
        <v>301</v>
      </c>
      <c r="B14" s="5" t="s">
        <v>292</v>
      </c>
      <c r="C14" s="3" t="n">
        <v>1</v>
      </c>
      <c r="D14" s="5" t="s">
        <v>302</v>
      </c>
      <c r="E14" s="5" t="s">
        <v>303</v>
      </c>
      <c r="F14" s="3" t="s">
        <v>275</v>
      </c>
    </row>
    <row r="15" customFormat="false" ht="23.25" hidden="false" customHeight="true" outlineLevel="0" collapsed="false">
      <c r="A15" s="3" t="s">
        <v>304</v>
      </c>
      <c r="B15" s="5" t="s">
        <v>292</v>
      </c>
      <c r="C15" s="3" t="n">
        <v>1</v>
      </c>
      <c r="D15" s="5" t="s">
        <v>305</v>
      </c>
      <c r="E15" s="5" t="s">
        <v>306</v>
      </c>
      <c r="F15" s="3" t="s">
        <v>275</v>
      </c>
    </row>
    <row r="16" customFormat="false" ht="23.25" hidden="false" customHeight="true" outlineLevel="0" collapsed="false">
      <c r="A16" s="3" t="s">
        <v>307</v>
      </c>
      <c r="B16" s="5" t="s">
        <v>292</v>
      </c>
      <c r="C16" s="3" t="n">
        <v>0.5</v>
      </c>
      <c r="D16" s="5" t="s">
        <v>308</v>
      </c>
      <c r="E16" s="5" t="s">
        <v>309</v>
      </c>
      <c r="F16" s="3" t="s">
        <v>275</v>
      </c>
    </row>
    <row r="17" customFormat="false" ht="23.25" hidden="false" customHeight="true" outlineLevel="0" collapsed="false">
      <c r="A17" s="3" t="s">
        <v>310</v>
      </c>
      <c r="B17" s="5" t="s">
        <v>311</v>
      </c>
      <c r="C17" s="3" t="n">
        <v>1</v>
      </c>
      <c r="D17" s="5" t="s">
        <v>312</v>
      </c>
      <c r="E17" s="5" t="s">
        <v>313</v>
      </c>
      <c r="F17" s="3" t="s">
        <v>275</v>
      </c>
    </row>
    <row r="18" customFormat="false" ht="23.25" hidden="false" customHeight="true" outlineLevel="0" collapsed="false">
      <c r="A18" s="3" t="s">
        <v>314</v>
      </c>
      <c r="B18" s="5" t="s">
        <v>311</v>
      </c>
      <c r="C18" s="3" t="n">
        <v>1</v>
      </c>
      <c r="D18" s="5" t="s">
        <v>315</v>
      </c>
      <c r="E18" s="5" t="s">
        <v>316</v>
      </c>
      <c r="F18" s="3" t="s">
        <v>275</v>
      </c>
    </row>
    <row r="19" customFormat="false" ht="23.25" hidden="false" customHeight="true" outlineLevel="0" collapsed="false">
      <c r="A19" s="3" t="s">
        <v>317</v>
      </c>
      <c r="B19" s="5" t="s">
        <v>311</v>
      </c>
      <c r="C19" s="3" t="n">
        <v>1</v>
      </c>
      <c r="D19" s="5" t="s">
        <v>318</v>
      </c>
      <c r="E19" s="5" t="s">
        <v>319</v>
      </c>
      <c r="F19" s="3" t="s">
        <v>275</v>
      </c>
    </row>
    <row r="20" customFormat="false" ht="23.25" hidden="false" customHeight="true" outlineLevel="0" collapsed="false">
      <c r="A20" s="3" t="s">
        <v>320</v>
      </c>
      <c r="B20" s="5" t="s">
        <v>311</v>
      </c>
      <c r="C20" s="3" t="n">
        <v>1</v>
      </c>
      <c r="D20" s="5" t="s">
        <v>321</v>
      </c>
      <c r="E20" s="5" t="s">
        <v>322</v>
      </c>
      <c r="F20" s="3" t="s">
        <v>275</v>
      </c>
    </row>
    <row r="21" customFormat="false" ht="23.25" hidden="false" customHeight="true" outlineLevel="0" collapsed="false">
      <c r="A21" s="3" t="s">
        <v>323</v>
      </c>
      <c r="B21" s="5" t="s">
        <v>311</v>
      </c>
      <c r="C21" s="3" t="n">
        <v>1</v>
      </c>
      <c r="D21" s="5" t="s">
        <v>324</v>
      </c>
      <c r="E21" s="5" t="s">
        <v>325</v>
      </c>
      <c r="F21" s="3" t="s">
        <v>275</v>
      </c>
    </row>
    <row r="22" customFormat="false" ht="23.25" hidden="false" customHeight="true" outlineLevel="0" collapsed="false">
      <c r="A22" s="3" t="s">
        <v>326</v>
      </c>
      <c r="B22" s="5" t="s">
        <v>311</v>
      </c>
      <c r="C22" s="3" t="n">
        <v>1</v>
      </c>
      <c r="D22" s="5" t="s">
        <v>327</v>
      </c>
      <c r="E22" s="5" t="s">
        <v>328</v>
      </c>
      <c r="F22" s="3" t="s">
        <v>275</v>
      </c>
    </row>
    <row r="23" customFormat="false" ht="23.25" hidden="false" customHeight="true" outlineLevel="0" collapsed="false">
      <c r="A23" s="3" t="s">
        <v>329</v>
      </c>
      <c r="B23" s="5" t="s">
        <v>330</v>
      </c>
      <c r="C23" s="3" t="n">
        <v>1</v>
      </c>
      <c r="D23" s="5" t="s">
        <v>331</v>
      </c>
      <c r="E23" s="5" t="s">
        <v>332</v>
      </c>
      <c r="F23" s="3" t="s">
        <v>275</v>
      </c>
    </row>
    <row r="24" customFormat="false" ht="23.25" hidden="false" customHeight="true" outlineLevel="0" collapsed="false">
      <c r="A24" s="3" t="s">
        <v>333</v>
      </c>
      <c r="B24" s="5" t="s">
        <v>330</v>
      </c>
      <c r="C24" s="3" t="n">
        <v>1</v>
      </c>
      <c r="D24" s="5" t="s">
        <v>334</v>
      </c>
      <c r="E24" s="5" t="s">
        <v>335</v>
      </c>
      <c r="F24" s="3" t="s">
        <v>275</v>
      </c>
    </row>
    <row r="25" customFormat="false" ht="23.25" hidden="false" customHeight="true" outlineLevel="0" collapsed="false">
      <c r="A25" s="3" t="s">
        <v>336</v>
      </c>
      <c r="B25" s="5" t="s">
        <v>330</v>
      </c>
      <c r="C25" s="3" t="n">
        <v>1</v>
      </c>
      <c r="D25" s="5" t="s">
        <v>337</v>
      </c>
      <c r="E25" s="5" t="s">
        <v>338</v>
      </c>
      <c r="F25" s="3" t="s">
        <v>275</v>
      </c>
    </row>
    <row r="26" customFormat="false" ht="23.25" hidden="false" customHeight="true" outlineLevel="0" collapsed="false">
      <c r="A26" s="3" t="s">
        <v>339</v>
      </c>
      <c r="B26" s="5" t="s">
        <v>330</v>
      </c>
      <c r="C26" s="3" t="n">
        <v>1</v>
      </c>
      <c r="D26" s="5" t="s">
        <v>340</v>
      </c>
      <c r="E26" s="5" t="s">
        <v>341</v>
      </c>
      <c r="F26" s="3" t="s">
        <v>275</v>
      </c>
    </row>
    <row r="27" customFormat="false" ht="23.25" hidden="false" customHeight="true" outlineLevel="0" collapsed="false">
      <c r="A27" s="3" t="s">
        <v>342</v>
      </c>
      <c r="B27" s="5" t="s">
        <v>330</v>
      </c>
      <c r="C27" s="3" t="n">
        <v>1</v>
      </c>
      <c r="D27" s="5" t="s">
        <v>343</v>
      </c>
      <c r="E27" s="5" t="s">
        <v>344</v>
      </c>
      <c r="F27" s="3" t="s">
        <v>275</v>
      </c>
    </row>
    <row r="28" customFormat="false" ht="23.25" hidden="false" customHeight="true" outlineLevel="0" collapsed="false">
      <c r="A28" s="3" t="s">
        <v>345</v>
      </c>
      <c r="B28" s="5" t="s">
        <v>330</v>
      </c>
      <c r="C28" s="3" t="n">
        <v>1</v>
      </c>
      <c r="D28" s="5" t="s">
        <v>346</v>
      </c>
      <c r="E28" s="5" t="s">
        <v>347</v>
      </c>
      <c r="F28" s="3" t="s">
        <v>275</v>
      </c>
    </row>
    <row r="29" customFormat="false" ht="23.25" hidden="false" customHeight="true" outlineLevel="0" collapsed="false">
      <c r="A29" s="3" t="s">
        <v>348</v>
      </c>
      <c r="B29" s="5" t="s">
        <v>349</v>
      </c>
      <c r="C29" s="3" t="n">
        <v>0.5</v>
      </c>
      <c r="D29" s="5" t="s">
        <v>350</v>
      </c>
      <c r="E29" s="5" t="s">
        <v>351</v>
      </c>
      <c r="F29" s="3" t="s">
        <v>275</v>
      </c>
    </row>
    <row r="30" customFormat="false" ht="23.25" hidden="false" customHeight="true" outlineLevel="0" collapsed="false">
      <c r="A30" s="3" t="s">
        <v>352</v>
      </c>
      <c r="B30" s="5" t="s">
        <v>349</v>
      </c>
      <c r="C30" s="3" t="n">
        <v>1</v>
      </c>
      <c r="D30" s="5" t="s">
        <v>353</v>
      </c>
      <c r="E30" s="5" t="s">
        <v>354</v>
      </c>
      <c r="F30" s="3" t="s">
        <v>275</v>
      </c>
    </row>
    <row r="31" customFormat="false" ht="23.25" hidden="false" customHeight="true" outlineLevel="0" collapsed="false">
      <c r="A31" s="3" t="s">
        <v>355</v>
      </c>
      <c r="B31" s="5" t="s">
        <v>349</v>
      </c>
      <c r="C31" s="3" t="n">
        <v>1</v>
      </c>
      <c r="D31" s="5" t="s">
        <v>356</v>
      </c>
      <c r="E31" s="5" t="s">
        <v>357</v>
      </c>
      <c r="F31" s="3" t="s">
        <v>275</v>
      </c>
    </row>
    <row r="32" customFormat="false" ht="23.25" hidden="false" customHeight="true" outlineLevel="0" collapsed="false">
      <c r="A32" s="3" t="s">
        <v>358</v>
      </c>
      <c r="B32" s="5" t="s">
        <v>349</v>
      </c>
      <c r="C32" s="3" t="n">
        <v>1</v>
      </c>
      <c r="D32" s="5" t="s">
        <v>359</v>
      </c>
      <c r="E32" s="5" t="s">
        <v>360</v>
      </c>
      <c r="F32" s="3" t="s">
        <v>275</v>
      </c>
    </row>
    <row r="33" customFormat="false" ht="23.25" hidden="false" customHeight="true" outlineLevel="0" collapsed="false">
      <c r="A33" s="3" t="s">
        <v>361</v>
      </c>
      <c r="B33" s="5" t="s">
        <v>349</v>
      </c>
      <c r="C33" s="3" t="n">
        <v>1</v>
      </c>
      <c r="D33" s="5" t="s">
        <v>362</v>
      </c>
      <c r="E33" s="5" t="s">
        <v>363</v>
      </c>
      <c r="F33" s="3" t="s">
        <v>275</v>
      </c>
    </row>
    <row r="34" customFormat="false" ht="23.25" hidden="false" customHeight="true" outlineLevel="0" collapsed="false">
      <c r="A34" s="3" t="s">
        <v>364</v>
      </c>
      <c r="B34" s="5" t="s">
        <v>349</v>
      </c>
      <c r="C34" s="3" t="n">
        <v>1</v>
      </c>
      <c r="D34" s="5" t="s">
        <v>365</v>
      </c>
      <c r="E34" s="5" t="s">
        <v>366</v>
      </c>
      <c r="F34" s="3" t="s">
        <v>275</v>
      </c>
    </row>
    <row r="35" customFormat="false" ht="23.25" hidden="false" customHeight="true" outlineLevel="0" collapsed="false">
      <c r="A35" s="3" t="s">
        <v>367</v>
      </c>
      <c r="B35" s="5" t="s">
        <v>368</v>
      </c>
      <c r="C35" s="3" t="n">
        <v>1</v>
      </c>
      <c r="D35" s="5" t="s">
        <v>369</v>
      </c>
      <c r="E35" s="5" t="s">
        <v>370</v>
      </c>
      <c r="F35" s="3" t="s">
        <v>275</v>
      </c>
    </row>
    <row r="36" customFormat="false" ht="23.25" hidden="false" customHeight="true" outlineLevel="0" collapsed="false">
      <c r="A36" s="3" t="s">
        <v>371</v>
      </c>
      <c r="B36" s="5" t="s">
        <v>368</v>
      </c>
      <c r="C36" s="3" t="n">
        <v>1</v>
      </c>
      <c r="D36" s="5" t="s">
        <v>372</v>
      </c>
      <c r="E36" s="5" t="s">
        <v>373</v>
      </c>
      <c r="F36" s="3" t="s">
        <v>275</v>
      </c>
    </row>
    <row r="37" customFormat="false" ht="23.25" hidden="false" customHeight="true" outlineLevel="0" collapsed="false">
      <c r="A37" s="3" t="s">
        <v>374</v>
      </c>
      <c r="B37" s="5" t="s">
        <v>368</v>
      </c>
      <c r="C37" s="3" t="n">
        <v>1</v>
      </c>
      <c r="D37" s="5" t="s">
        <v>375</v>
      </c>
      <c r="E37" s="5" t="s">
        <v>376</v>
      </c>
      <c r="F37" s="3" t="s">
        <v>275</v>
      </c>
    </row>
    <row r="38" customFormat="false" ht="23.25" hidden="false" customHeight="true" outlineLevel="0" collapsed="false">
      <c r="A38" s="3" t="s">
        <v>377</v>
      </c>
      <c r="B38" s="5" t="s">
        <v>368</v>
      </c>
      <c r="C38" s="3" t="n">
        <v>1</v>
      </c>
      <c r="D38" s="5" t="s">
        <v>378</v>
      </c>
      <c r="E38" s="5" t="s">
        <v>379</v>
      </c>
      <c r="F38" s="3" t="s">
        <v>275</v>
      </c>
    </row>
    <row r="39" customFormat="false" ht="23.25" hidden="false" customHeight="true" outlineLevel="0" collapsed="false">
      <c r="A39" s="3" t="s">
        <v>380</v>
      </c>
      <c r="B39" s="5" t="s">
        <v>368</v>
      </c>
      <c r="C39" s="3" t="n">
        <v>1</v>
      </c>
      <c r="D39" s="5" t="s">
        <v>381</v>
      </c>
      <c r="E39" s="5" t="s">
        <v>382</v>
      </c>
      <c r="F39" s="3" t="s">
        <v>275</v>
      </c>
    </row>
    <row r="40" customFormat="false" ht="23.25" hidden="false" customHeight="true" outlineLevel="0" collapsed="false">
      <c r="A40" s="3" t="s">
        <v>383</v>
      </c>
      <c r="B40" s="5" t="s">
        <v>368</v>
      </c>
      <c r="C40" s="3" t="n">
        <v>1</v>
      </c>
      <c r="D40" s="5" t="s">
        <v>384</v>
      </c>
      <c r="E40" s="5" t="s">
        <v>385</v>
      </c>
      <c r="F40" s="3" t="s">
        <v>275</v>
      </c>
    </row>
    <row r="41" customFormat="false" ht="23.25" hidden="false" customHeight="true" outlineLevel="0" collapsed="false">
      <c r="A41" s="3" t="s">
        <v>386</v>
      </c>
      <c r="B41" s="5" t="s">
        <v>272</v>
      </c>
      <c r="C41" s="3" t="n">
        <v>0.5</v>
      </c>
      <c r="D41" s="5" t="s">
        <v>387</v>
      </c>
      <c r="E41" s="5" t="s">
        <v>388</v>
      </c>
      <c r="F41" s="3" t="s">
        <v>275</v>
      </c>
    </row>
    <row r="42" customFormat="false" ht="23.25" hidden="false" customHeight="true" outlineLevel="0" collapsed="false">
      <c r="A42" s="3" t="s">
        <v>389</v>
      </c>
      <c r="B42" s="5" t="s">
        <v>272</v>
      </c>
      <c r="C42" s="3" t="n">
        <v>0.5</v>
      </c>
      <c r="D42" s="5" t="s">
        <v>390</v>
      </c>
      <c r="E42" s="5" t="s">
        <v>391</v>
      </c>
      <c r="F42" s="3" t="s">
        <v>275</v>
      </c>
    </row>
    <row r="43" customFormat="false" ht="23.25" hidden="false" customHeight="true" outlineLevel="0" collapsed="false">
      <c r="A43" s="3" t="s">
        <v>392</v>
      </c>
      <c r="B43" s="5" t="s">
        <v>272</v>
      </c>
      <c r="C43" s="3" t="n">
        <v>0.5</v>
      </c>
      <c r="D43" s="5" t="s">
        <v>393</v>
      </c>
      <c r="E43" s="5" t="s">
        <v>394</v>
      </c>
      <c r="F43" s="3" t="s">
        <v>275</v>
      </c>
    </row>
    <row r="44" customFormat="false" ht="23.25" hidden="false" customHeight="true" outlineLevel="0" collapsed="false">
      <c r="A44" s="3" t="s">
        <v>395</v>
      </c>
      <c r="B44" s="5" t="s">
        <v>272</v>
      </c>
      <c r="C44" s="3" t="n">
        <v>0</v>
      </c>
      <c r="D44" s="5" t="s">
        <v>396</v>
      </c>
      <c r="E44" s="5" t="s">
        <v>397</v>
      </c>
      <c r="F44" s="3" t="s">
        <v>275</v>
      </c>
    </row>
    <row r="45" customFormat="false" ht="23.25" hidden="false" customHeight="true" outlineLevel="0" collapsed="false">
      <c r="A45" s="3" t="s">
        <v>398</v>
      </c>
      <c r="B45" s="5" t="s">
        <v>272</v>
      </c>
      <c r="C45" s="3" t="n">
        <v>0</v>
      </c>
      <c r="D45" s="5" t="s">
        <v>396</v>
      </c>
      <c r="E45" s="5" t="s">
        <v>399</v>
      </c>
      <c r="F45" s="3" t="s">
        <v>275</v>
      </c>
    </row>
    <row r="46" customFormat="false" ht="23.25" hidden="false" customHeight="true" outlineLevel="0" collapsed="false">
      <c r="A46" s="3" t="s">
        <v>400</v>
      </c>
      <c r="B46" s="5" t="s">
        <v>292</v>
      </c>
      <c r="C46" s="3" t="n">
        <v>0.5</v>
      </c>
      <c r="D46" s="5" t="s">
        <v>401</v>
      </c>
      <c r="E46" s="5" t="s">
        <v>402</v>
      </c>
      <c r="F46" s="3" t="s">
        <v>275</v>
      </c>
    </row>
    <row r="47" customFormat="false" ht="23.25" hidden="false" customHeight="true" outlineLevel="0" collapsed="false">
      <c r="A47" s="3" t="s">
        <v>403</v>
      </c>
      <c r="B47" s="5" t="s">
        <v>292</v>
      </c>
      <c r="C47" s="3" t="n">
        <v>0.5</v>
      </c>
      <c r="D47" s="5" t="s">
        <v>404</v>
      </c>
      <c r="E47" s="5" t="s">
        <v>405</v>
      </c>
      <c r="F47" s="3" t="s">
        <v>275</v>
      </c>
    </row>
    <row r="48" customFormat="false" ht="23.25" hidden="false" customHeight="true" outlineLevel="0" collapsed="false">
      <c r="A48" s="3" t="s">
        <v>406</v>
      </c>
      <c r="B48" s="5" t="s">
        <v>292</v>
      </c>
      <c r="C48" s="3" t="n">
        <v>0.5</v>
      </c>
      <c r="D48" s="5" t="s">
        <v>407</v>
      </c>
      <c r="E48" s="5" t="s">
        <v>394</v>
      </c>
      <c r="F48" s="3" t="s">
        <v>275</v>
      </c>
    </row>
    <row r="49" customFormat="false" ht="23.25" hidden="false" customHeight="true" outlineLevel="0" collapsed="false">
      <c r="A49" s="3" t="s">
        <v>408</v>
      </c>
      <c r="B49" s="5" t="s">
        <v>292</v>
      </c>
      <c r="C49" s="3" t="n">
        <v>0</v>
      </c>
      <c r="D49" s="5" t="s">
        <v>409</v>
      </c>
      <c r="E49" s="5" t="s">
        <v>410</v>
      </c>
      <c r="F49" s="3" t="s">
        <v>275</v>
      </c>
    </row>
    <row r="50" customFormat="false" ht="23.25" hidden="false" customHeight="true" outlineLevel="0" collapsed="false">
      <c r="A50" s="3" t="s">
        <v>411</v>
      </c>
      <c r="B50" s="5" t="s">
        <v>292</v>
      </c>
      <c r="C50" s="3" t="n">
        <v>0</v>
      </c>
      <c r="D50" s="5" t="s">
        <v>396</v>
      </c>
      <c r="E50" s="5" t="s">
        <v>399</v>
      </c>
      <c r="F50" s="3" t="s">
        <v>275</v>
      </c>
    </row>
    <row r="51" customFormat="false" ht="23.25" hidden="false" customHeight="true" outlineLevel="0" collapsed="false">
      <c r="A51" s="3" t="s">
        <v>412</v>
      </c>
      <c r="B51" s="5" t="s">
        <v>311</v>
      </c>
      <c r="C51" s="3" t="n">
        <v>1</v>
      </c>
      <c r="D51" s="5" t="s">
        <v>413</v>
      </c>
      <c r="E51" s="5" t="s">
        <v>414</v>
      </c>
      <c r="F51" s="3" t="s">
        <v>275</v>
      </c>
    </row>
    <row r="52" customFormat="false" ht="23.25" hidden="false" customHeight="true" outlineLevel="0" collapsed="false">
      <c r="A52" s="3" t="s">
        <v>415</v>
      </c>
      <c r="B52" s="5" t="s">
        <v>311</v>
      </c>
      <c r="C52" s="3" t="n">
        <v>0.5</v>
      </c>
      <c r="D52" s="5" t="s">
        <v>416</v>
      </c>
      <c r="E52" s="5" t="s">
        <v>417</v>
      </c>
      <c r="F52" s="3" t="s">
        <v>275</v>
      </c>
    </row>
    <row r="53" customFormat="false" ht="23.25" hidden="false" customHeight="true" outlineLevel="0" collapsed="false">
      <c r="A53" s="3" t="s">
        <v>418</v>
      </c>
      <c r="B53" s="5" t="s">
        <v>311</v>
      </c>
      <c r="C53" s="3" t="n">
        <v>1</v>
      </c>
      <c r="D53" s="5" t="s">
        <v>419</v>
      </c>
      <c r="E53" s="5" t="s">
        <v>256</v>
      </c>
      <c r="F53" s="3" t="s">
        <v>275</v>
      </c>
    </row>
    <row r="54" customFormat="false" ht="23.25" hidden="false" customHeight="true" outlineLevel="0" collapsed="false">
      <c r="A54" s="3" t="s">
        <v>420</v>
      </c>
      <c r="B54" s="5" t="s">
        <v>311</v>
      </c>
      <c r="C54" s="3" t="n">
        <v>1</v>
      </c>
      <c r="D54" s="5" t="s">
        <v>421</v>
      </c>
      <c r="E54" s="5" t="s">
        <v>422</v>
      </c>
      <c r="F54" s="3" t="s">
        <v>275</v>
      </c>
    </row>
    <row r="55" customFormat="false" ht="23.25" hidden="false" customHeight="true" outlineLevel="0" collapsed="false">
      <c r="A55" s="3" t="s">
        <v>423</v>
      </c>
      <c r="B55" s="5" t="s">
        <v>311</v>
      </c>
      <c r="C55" s="3" t="n">
        <v>1</v>
      </c>
      <c r="D55" s="5" t="s">
        <v>424</v>
      </c>
      <c r="E55" s="5" t="s">
        <v>425</v>
      </c>
      <c r="F55" s="3" t="s">
        <v>275</v>
      </c>
    </row>
    <row r="56" customFormat="false" ht="23.25" hidden="false" customHeight="true" outlineLevel="0" collapsed="false">
      <c r="A56" s="3" t="s">
        <v>426</v>
      </c>
      <c r="B56" s="5" t="s">
        <v>330</v>
      </c>
      <c r="C56" s="3" t="n">
        <v>0.5</v>
      </c>
      <c r="D56" s="5" t="s">
        <v>427</v>
      </c>
      <c r="E56" s="5" t="s">
        <v>428</v>
      </c>
      <c r="F56" s="3" t="s">
        <v>275</v>
      </c>
    </row>
    <row r="57" customFormat="false" ht="23.25" hidden="false" customHeight="true" outlineLevel="0" collapsed="false">
      <c r="A57" s="3" t="s">
        <v>429</v>
      </c>
      <c r="B57" s="5" t="s">
        <v>330</v>
      </c>
      <c r="C57" s="3" t="n">
        <v>0.5</v>
      </c>
      <c r="D57" s="5" t="s">
        <v>390</v>
      </c>
      <c r="E57" s="5" t="s">
        <v>430</v>
      </c>
      <c r="F57" s="3" t="s">
        <v>275</v>
      </c>
    </row>
    <row r="58" customFormat="false" ht="23.25" hidden="false" customHeight="true" outlineLevel="0" collapsed="false">
      <c r="A58" s="3" t="s">
        <v>431</v>
      </c>
      <c r="B58" s="5" t="s">
        <v>330</v>
      </c>
      <c r="C58" s="3" t="n">
        <v>0.5</v>
      </c>
      <c r="D58" s="5" t="s">
        <v>432</v>
      </c>
      <c r="E58" s="5" t="s">
        <v>433</v>
      </c>
      <c r="F58" s="3" t="s">
        <v>275</v>
      </c>
    </row>
    <row r="59" customFormat="false" ht="23.25" hidden="false" customHeight="true" outlineLevel="0" collapsed="false">
      <c r="A59" s="3" t="s">
        <v>434</v>
      </c>
      <c r="B59" s="5" t="s">
        <v>330</v>
      </c>
      <c r="C59" s="3" t="n">
        <v>0</v>
      </c>
      <c r="D59" s="5" t="s">
        <v>396</v>
      </c>
      <c r="E59" s="5" t="s">
        <v>397</v>
      </c>
      <c r="F59" s="3" t="s">
        <v>275</v>
      </c>
    </row>
    <row r="60" customFormat="false" ht="23.25" hidden="false" customHeight="true" outlineLevel="0" collapsed="false">
      <c r="A60" s="3" t="s">
        <v>435</v>
      </c>
      <c r="B60" s="5" t="s">
        <v>330</v>
      </c>
      <c r="C60" s="3" t="n">
        <v>0</v>
      </c>
      <c r="D60" s="5" t="s">
        <v>396</v>
      </c>
      <c r="E60" s="5" t="s">
        <v>399</v>
      </c>
      <c r="F60" s="3" t="s">
        <v>275</v>
      </c>
    </row>
    <row r="61" customFormat="false" ht="23.25" hidden="false" customHeight="true" outlineLevel="0" collapsed="false">
      <c r="A61" s="3" t="s">
        <v>436</v>
      </c>
      <c r="B61" s="5" t="s">
        <v>349</v>
      </c>
      <c r="C61" s="3" t="n">
        <v>0.5</v>
      </c>
      <c r="D61" s="5" t="s">
        <v>437</v>
      </c>
      <c r="E61" s="5" t="s">
        <v>438</v>
      </c>
      <c r="F61" s="3" t="s">
        <v>275</v>
      </c>
    </row>
    <row r="62" customFormat="false" ht="23.25" hidden="false" customHeight="true" outlineLevel="0" collapsed="false">
      <c r="A62" s="3" t="s">
        <v>439</v>
      </c>
      <c r="B62" s="5" t="s">
        <v>349</v>
      </c>
      <c r="C62" s="3" t="n">
        <v>0.5</v>
      </c>
      <c r="D62" s="5" t="s">
        <v>440</v>
      </c>
      <c r="E62" s="5" t="s">
        <v>441</v>
      </c>
      <c r="F62" s="3" t="s">
        <v>275</v>
      </c>
    </row>
    <row r="63" customFormat="false" ht="23.25" hidden="false" customHeight="true" outlineLevel="0" collapsed="false">
      <c r="A63" s="3" t="s">
        <v>442</v>
      </c>
      <c r="B63" s="5" t="s">
        <v>349</v>
      </c>
      <c r="C63" s="3" t="n">
        <v>0.5</v>
      </c>
      <c r="D63" s="5" t="s">
        <v>407</v>
      </c>
      <c r="E63" s="5" t="s">
        <v>394</v>
      </c>
      <c r="F63" s="3" t="s">
        <v>275</v>
      </c>
    </row>
    <row r="64" customFormat="false" ht="23.25" hidden="false" customHeight="true" outlineLevel="0" collapsed="false">
      <c r="A64" s="3" t="s">
        <v>443</v>
      </c>
      <c r="B64" s="5" t="s">
        <v>349</v>
      </c>
      <c r="C64" s="3" t="n">
        <v>0</v>
      </c>
      <c r="D64" s="5" t="s">
        <v>396</v>
      </c>
      <c r="E64" s="5" t="s">
        <v>397</v>
      </c>
      <c r="F64" s="3" t="s">
        <v>275</v>
      </c>
    </row>
    <row r="65" customFormat="false" ht="23.25" hidden="false" customHeight="true" outlineLevel="0" collapsed="false">
      <c r="A65" s="3" t="s">
        <v>444</v>
      </c>
      <c r="B65" s="5" t="s">
        <v>349</v>
      </c>
      <c r="C65" s="3" t="n">
        <v>0</v>
      </c>
      <c r="D65" s="5" t="s">
        <v>396</v>
      </c>
      <c r="E65" s="5" t="s">
        <v>399</v>
      </c>
      <c r="F65" s="3" t="s">
        <v>275</v>
      </c>
    </row>
    <row r="66" customFormat="false" ht="23.25" hidden="false" customHeight="true" outlineLevel="0" collapsed="false">
      <c r="A66" s="3" t="s">
        <v>445</v>
      </c>
      <c r="B66" s="5" t="s">
        <v>368</v>
      </c>
      <c r="C66" s="3" t="n">
        <v>1</v>
      </c>
      <c r="D66" s="5" t="s">
        <v>446</v>
      </c>
      <c r="E66" s="5" t="s">
        <v>447</v>
      </c>
      <c r="F66" s="3" t="s">
        <v>275</v>
      </c>
    </row>
    <row r="67" customFormat="false" ht="23.25" hidden="false" customHeight="true" outlineLevel="0" collapsed="false">
      <c r="A67" s="3" t="s">
        <v>448</v>
      </c>
      <c r="B67" s="5" t="s">
        <v>368</v>
      </c>
      <c r="C67" s="3" t="n">
        <v>1</v>
      </c>
      <c r="D67" s="5" t="s">
        <v>449</v>
      </c>
      <c r="E67" s="5" t="s">
        <v>450</v>
      </c>
      <c r="F67" s="3" t="s">
        <v>275</v>
      </c>
    </row>
    <row r="68" customFormat="false" ht="23.25" hidden="false" customHeight="true" outlineLevel="0" collapsed="false">
      <c r="A68" s="3" t="s">
        <v>451</v>
      </c>
      <c r="B68" s="5" t="s">
        <v>368</v>
      </c>
      <c r="C68" s="3" t="n">
        <v>1</v>
      </c>
      <c r="D68" s="5" t="s">
        <v>452</v>
      </c>
      <c r="E68" s="5" t="s">
        <v>257</v>
      </c>
      <c r="F68" s="3" t="s">
        <v>275</v>
      </c>
    </row>
    <row r="69" customFormat="false" ht="23.25" hidden="false" customHeight="true" outlineLevel="0" collapsed="false">
      <c r="A69" s="3" t="s">
        <v>453</v>
      </c>
      <c r="B69" s="5" t="s">
        <v>368</v>
      </c>
      <c r="C69" s="3" t="n">
        <v>1</v>
      </c>
      <c r="D69" s="5" t="s">
        <v>421</v>
      </c>
      <c r="E69" s="5" t="s">
        <v>422</v>
      </c>
      <c r="F69" s="3" t="s">
        <v>275</v>
      </c>
    </row>
    <row r="70" customFormat="false" ht="23.25" hidden="false" customHeight="true" outlineLevel="0" collapsed="false">
      <c r="A70" s="3" t="s">
        <v>454</v>
      </c>
      <c r="B70" s="5" t="s">
        <v>368</v>
      </c>
      <c r="C70" s="3" t="n">
        <v>0.5</v>
      </c>
      <c r="D70" s="5" t="s">
        <v>455</v>
      </c>
      <c r="E70" s="5" t="s">
        <v>263</v>
      </c>
      <c r="F70" s="3" t="s">
        <v>275</v>
      </c>
    </row>
    <row r="71" customFormat="false" ht="45.75" hidden="false" customHeight="true" outlineLevel="0" collapsed="false">
      <c r="A71" s="3" t="s">
        <v>456</v>
      </c>
      <c r="B71" s="5" t="s">
        <v>457</v>
      </c>
      <c r="C71" s="3" t="n">
        <v>1</v>
      </c>
      <c r="D71" s="5" t="s">
        <v>458</v>
      </c>
      <c r="E71" s="5" t="s">
        <v>459</v>
      </c>
      <c r="F71" s="3" t="s">
        <v>275</v>
      </c>
    </row>
    <row r="72" customFormat="false" ht="23.25" hidden="false" customHeight="true" outlineLevel="0" collapsed="false">
      <c r="A72" s="3" t="s">
        <v>460</v>
      </c>
      <c r="B72" s="5" t="s">
        <v>461</v>
      </c>
      <c r="C72" s="3" t="n">
        <v>0</v>
      </c>
      <c r="D72" s="5" t="s">
        <v>462</v>
      </c>
      <c r="E72" s="5" t="s">
        <v>463</v>
      </c>
      <c r="F72" s="3" t="s">
        <v>275</v>
      </c>
    </row>
    <row r="73" customFormat="false" ht="23.25" hidden="false" customHeight="true" outlineLevel="0" collapsed="false">
      <c r="A73" s="3" t="s">
        <v>464</v>
      </c>
      <c r="B73" s="5" t="s">
        <v>465</v>
      </c>
      <c r="C73" s="3" t="n">
        <v>1</v>
      </c>
      <c r="D73" s="5" t="s">
        <v>466</v>
      </c>
      <c r="E73" s="5" t="s">
        <v>467</v>
      </c>
      <c r="F73" s="3" t="s">
        <v>275</v>
      </c>
    </row>
    <row r="74" customFormat="false" ht="15" hidden="false" customHeight="true" outlineLevel="0" collapsed="false">
      <c r="A74" s="3" t="s">
        <v>468</v>
      </c>
      <c r="B74" s="5" t="s">
        <v>469</v>
      </c>
      <c r="C74" s="3" t="n">
        <v>0</v>
      </c>
      <c r="D74" s="5" t="s">
        <v>470</v>
      </c>
      <c r="E74" s="5" t="s">
        <v>471</v>
      </c>
      <c r="F74" s="3" t="s">
        <v>275</v>
      </c>
    </row>
    <row r="75" customFormat="false" ht="23.25" hidden="false" customHeight="true" outlineLevel="0" collapsed="false">
      <c r="A75" s="3" t="s">
        <v>472</v>
      </c>
      <c r="B75" s="5" t="s">
        <v>469</v>
      </c>
      <c r="C75" s="3" t="n">
        <v>0</v>
      </c>
      <c r="D75" s="5" t="s">
        <v>473</v>
      </c>
      <c r="E75" s="5" t="s">
        <v>474</v>
      </c>
      <c r="F75" s="3" t="s">
        <v>275</v>
      </c>
    </row>
    <row r="76" customFormat="false" ht="23.25" hidden="false" customHeight="true" outlineLevel="0" collapsed="false">
      <c r="A76" s="3" t="s">
        <v>475</v>
      </c>
      <c r="B76" s="5" t="s">
        <v>476</v>
      </c>
      <c r="C76" s="3" t="n">
        <v>1</v>
      </c>
      <c r="D76" s="5" t="s">
        <v>477</v>
      </c>
      <c r="E76" s="5" t="s">
        <v>382</v>
      </c>
      <c r="F76" s="3" t="s">
        <v>275</v>
      </c>
    </row>
    <row r="77" customFormat="false" ht="15" hidden="false" customHeight="true" outlineLevel="0" collapsed="false">
      <c r="A77" s="3" t="s">
        <v>478</v>
      </c>
      <c r="B77" s="5" t="s">
        <v>476</v>
      </c>
      <c r="C77" s="3" t="n">
        <v>0</v>
      </c>
      <c r="D77" s="5" t="s">
        <v>479</v>
      </c>
      <c r="E77" s="5" t="s">
        <v>480</v>
      </c>
      <c r="F77" s="3" t="s">
        <v>275</v>
      </c>
    </row>
    <row r="78" customFormat="false" ht="15" hidden="false" customHeight="true" outlineLevel="0" collapsed="false">
      <c r="A78" s="3" t="s">
        <v>481</v>
      </c>
      <c r="B78" s="5" t="s">
        <v>482</v>
      </c>
      <c r="C78" s="3" t="n">
        <v>0</v>
      </c>
      <c r="D78" s="5" t="s">
        <v>483</v>
      </c>
      <c r="E78" s="5" t="s">
        <v>484</v>
      </c>
      <c r="F78" s="3" t="s">
        <v>275</v>
      </c>
    </row>
    <row r="79" customFormat="false" ht="15" hidden="false" customHeight="true" outlineLevel="0" collapsed="false">
      <c r="A79" s="3" t="s">
        <v>485</v>
      </c>
      <c r="B79" s="5" t="s">
        <v>486</v>
      </c>
      <c r="C79" s="3" t="n">
        <v>1</v>
      </c>
      <c r="D79" s="5" t="s">
        <v>487</v>
      </c>
      <c r="E79" s="5" t="s">
        <v>351</v>
      </c>
      <c r="F79" s="3" t="s">
        <v>275</v>
      </c>
    </row>
    <row r="80" customFormat="false" ht="23.25" hidden="false" customHeight="true" outlineLevel="0" collapsed="false">
      <c r="A80" s="3" t="s">
        <v>488</v>
      </c>
      <c r="B80" s="5" t="s">
        <v>457</v>
      </c>
      <c r="C80" s="3" t="s">
        <v>489</v>
      </c>
      <c r="D80" s="5" t="s">
        <v>490</v>
      </c>
      <c r="E80" s="5" t="s">
        <v>491</v>
      </c>
      <c r="F80" s="3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9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60"/>
  </cols>
  <sheetData>
    <row r="1" customFormat="false" ht="15" hidden="false" customHeight="true" outlineLevel="0" collapsed="false">
      <c r="A1" s="2" t="s">
        <v>492</v>
      </c>
    </row>
    <row r="2" customFormat="false" ht="15" hidden="false" customHeight="true" outlineLevel="0" collapsed="false">
      <c r="A2" s="3" t="s">
        <v>493</v>
      </c>
    </row>
    <row r="4" customFormat="false" ht="15" hidden="false" customHeight="true" outlineLevel="0" collapsed="false">
      <c r="A4" s="4" t="s">
        <v>209</v>
      </c>
      <c r="B4" s="4" t="s">
        <v>494</v>
      </c>
      <c r="C4" s="4" t="s">
        <v>495</v>
      </c>
      <c r="D4" s="4" t="s">
        <v>496</v>
      </c>
      <c r="E4" s="4" t="s">
        <v>497</v>
      </c>
      <c r="F4" s="4" t="s">
        <v>498</v>
      </c>
      <c r="G4" s="4" t="s">
        <v>47</v>
      </c>
    </row>
    <row r="5" customFormat="false" ht="15" hidden="false" customHeight="true" outlineLevel="0" collapsed="false">
      <c r="A5" s="3" t="s">
        <v>499</v>
      </c>
      <c r="B5" s="3" t="n">
        <v>11</v>
      </c>
      <c r="C5" s="3" t="n">
        <v>5</v>
      </c>
      <c r="D5" s="3" t="n">
        <v>8615</v>
      </c>
      <c r="E5" s="3" t="n">
        <f aca="false">ROUND(D5/B5,0)</f>
        <v>783</v>
      </c>
      <c r="F5" s="6" t="n">
        <v>0.35</v>
      </c>
      <c r="G5" s="5" t="s">
        <v>500</v>
      </c>
    </row>
    <row r="6" customFormat="false" ht="15" hidden="false" customHeight="true" outlineLevel="0" collapsed="false">
      <c r="A6" s="3" t="s">
        <v>501</v>
      </c>
      <c r="B6" s="3" t="n">
        <v>9</v>
      </c>
      <c r="C6" s="3" t="n">
        <v>6</v>
      </c>
      <c r="D6" s="3" t="n">
        <v>6559</v>
      </c>
      <c r="E6" s="3" t="n">
        <f aca="false">ROUND(D6/B6,0)</f>
        <v>729</v>
      </c>
      <c r="F6" s="6" t="n">
        <v>0.41</v>
      </c>
      <c r="G6" s="5" t="s">
        <v>500</v>
      </c>
    </row>
    <row r="8" customFormat="false" ht="15" hidden="false" customHeight="true" outlineLevel="0" collapsed="false">
      <c r="A8" s="4" t="s">
        <v>502</v>
      </c>
    </row>
    <row r="9" customFormat="false" ht="15" hidden="false" customHeight="true" outlineLevel="0" collapsed="false">
      <c r="A9" s="4" t="s">
        <v>209</v>
      </c>
      <c r="B9" s="4" t="s">
        <v>503</v>
      </c>
      <c r="D9" s="4" t="s">
        <v>504</v>
      </c>
      <c r="F9" s="4" t="s">
        <v>498</v>
      </c>
    </row>
    <row r="10" customFormat="false" ht="15" hidden="false" customHeight="true" outlineLevel="0" collapsed="false">
      <c r="A10" s="3" t="s">
        <v>505</v>
      </c>
      <c r="B10" s="3" t="n">
        <v>4110</v>
      </c>
      <c r="D10" s="3" t="n">
        <v>8038</v>
      </c>
      <c r="F10" s="3" t="n">
        <v>12.91</v>
      </c>
    </row>
    <row r="11" customFormat="false" ht="15" hidden="false" customHeight="true" outlineLevel="0" collapsed="false">
      <c r="A11" s="3" t="s">
        <v>506</v>
      </c>
      <c r="B11" s="3" t="n">
        <v>3224</v>
      </c>
      <c r="D11" s="3" t="n">
        <v>7119</v>
      </c>
      <c r="F11" s="3" t="n">
        <v>9.51</v>
      </c>
    </row>
    <row r="12" customFormat="false" ht="15" hidden="false" customHeight="true" outlineLevel="0" collapsed="false">
      <c r="A12" s="3" t="s">
        <v>4</v>
      </c>
      <c r="B12" s="3" t="n">
        <v>24895</v>
      </c>
      <c r="D12" s="3" t="n">
        <v>56937</v>
      </c>
      <c r="F12" s="3" t="n">
        <v>75.21</v>
      </c>
    </row>
    <row r="13" customFormat="false" ht="15" hidden="false" customHeight="true" outlineLevel="0" collapsed="false">
      <c r="A13" s="3" t="s">
        <v>7</v>
      </c>
      <c r="B13" s="3" t="n">
        <v>5684</v>
      </c>
      <c r="D13" s="3" t="n">
        <v>16683</v>
      </c>
      <c r="F13" s="3" t="n">
        <v>12.16</v>
      </c>
    </row>
    <row r="15" customFormat="false" ht="157.5" hidden="false" customHeight="true" outlineLevel="0" collapsed="false">
      <c r="A15" s="5" t="s">
        <v>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5" min="4" style="1" width="11"/>
    <col collapsed="false" customWidth="true" hidden="false" outlineLevel="0" max="7" min="6" style="1" width="9"/>
    <col collapsed="false" customWidth="true" hidden="false" outlineLevel="0" max="8" min="8" style="1" width="20"/>
    <col collapsed="false" customWidth="true" hidden="false" outlineLevel="0" max="9" min="9" style="1" width="13"/>
    <col collapsed="false" customWidth="true" hidden="false" outlineLevel="0" max="10" min="10" style="1" width="12"/>
  </cols>
  <sheetData>
    <row r="1" customFormat="false" ht="15" hidden="false" customHeight="true" outlineLevel="0" collapsed="false">
      <c r="A1" s="2" t="s">
        <v>508</v>
      </c>
    </row>
    <row r="3" customFormat="false" ht="15" hidden="false" customHeight="true" outlineLevel="0" collapsed="false">
      <c r="A3" s="4" t="s">
        <v>209</v>
      </c>
      <c r="B3" s="4" t="s">
        <v>509</v>
      </c>
      <c r="C3" s="4" t="s">
        <v>510</v>
      </c>
      <c r="D3" s="4" t="s">
        <v>511</v>
      </c>
      <c r="E3" s="4" t="s">
        <v>512</v>
      </c>
      <c r="F3" s="4" t="s">
        <v>513</v>
      </c>
      <c r="G3" s="4" t="s">
        <v>514</v>
      </c>
      <c r="H3" s="4" t="s">
        <v>515</v>
      </c>
      <c r="I3" s="4" t="s">
        <v>516</v>
      </c>
      <c r="J3" s="4" t="s">
        <v>517</v>
      </c>
    </row>
    <row r="4" customFormat="false" ht="15" hidden="false" customHeight="true" outlineLevel="0" collapsed="false">
      <c r="A4" s="3" t="s">
        <v>213</v>
      </c>
      <c r="B4" s="3" t="s">
        <v>518</v>
      </c>
      <c r="C4" s="3" t="s">
        <v>519</v>
      </c>
      <c r="D4" s="3" t="n">
        <v>433</v>
      </c>
      <c r="E4" s="3" t="n">
        <v>1164</v>
      </c>
      <c r="F4" s="3" t="n">
        <v>8000</v>
      </c>
      <c r="G4" s="3" t="n">
        <v>21.82</v>
      </c>
      <c r="H4" s="3" t="s">
        <v>520</v>
      </c>
      <c r="I4" s="3" t="s">
        <v>521</v>
      </c>
      <c r="J4" s="3" t="s">
        <v>522</v>
      </c>
    </row>
    <row r="5" customFormat="false" ht="15" hidden="false" customHeight="true" outlineLevel="0" collapsed="false">
      <c r="A5" s="3" t="s">
        <v>217</v>
      </c>
      <c r="B5" s="3" t="s">
        <v>518</v>
      </c>
      <c r="C5" s="3" t="s">
        <v>519</v>
      </c>
      <c r="D5" s="3" t="n">
        <v>548</v>
      </c>
      <c r="E5" s="3" t="n">
        <v>7451</v>
      </c>
      <c r="F5" s="3" t="n">
        <v>8000</v>
      </c>
      <c r="G5" s="3" t="n">
        <v>96.04</v>
      </c>
      <c r="H5" s="3" t="s">
        <v>523</v>
      </c>
      <c r="I5" s="3" t="s">
        <v>521</v>
      </c>
      <c r="J5" s="3" t="s">
        <v>524</v>
      </c>
    </row>
    <row r="6" customFormat="false" ht="15" hidden="false" customHeight="true" outlineLevel="0" collapsed="false">
      <c r="A6" s="3" t="s">
        <v>220</v>
      </c>
      <c r="B6" s="3" t="s">
        <v>518</v>
      </c>
      <c r="C6" s="3" t="s">
        <v>519</v>
      </c>
      <c r="D6" s="3" t="n">
        <v>2676</v>
      </c>
      <c r="E6" s="3" t="n">
        <v>2453</v>
      </c>
      <c r="F6" s="3" t="n">
        <v>8000</v>
      </c>
      <c r="G6" s="3" t="n">
        <v>32.18</v>
      </c>
      <c r="H6" s="3" t="s">
        <v>525</v>
      </c>
      <c r="I6" s="3" t="s">
        <v>521</v>
      </c>
      <c r="J6" s="3" t="s">
        <v>524</v>
      </c>
    </row>
    <row r="7" customFormat="false" ht="15" hidden="false" customHeight="true" outlineLevel="0" collapsed="false">
      <c r="A7" s="3" t="s">
        <v>223</v>
      </c>
      <c r="B7" s="3" t="s">
        <v>526</v>
      </c>
      <c r="C7" s="3" t="s">
        <v>519</v>
      </c>
      <c r="D7" s="3" t="n">
        <v>381</v>
      </c>
      <c r="E7" s="3" t="n">
        <v>1330</v>
      </c>
      <c r="F7" s="3" t="n">
        <v>16000</v>
      </c>
      <c r="G7" s="3" t="n">
        <v>13.88</v>
      </c>
      <c r="H7" s="3" t="s">
        <v>520</v>
      </c>
      <c r="I7" s="3" t="s">
        <v>521</v>
      </c>
      <c r="J7" s="3" t="s">
        <v>522</v>
      </c>
    </row>
    <row r="8" customFormat="false" ht="15" hidden="false" customHeight="true" outlineLevel="0" collapsed="false">
      <c r="A8" s="3" t="s">
        <v>225</v>
      </c>
      <c r="B8" s="3" t="s">
        <v>526</v>
      </c>
      <c r="C8" s="3" t="s">
        <v>519</v>
      </c>
      <c r="D8" s="3" t="n">
        <v>485</v>
      </c>
      <c r="E8" s="3" t="n">
        <v>1257</v>
      </c>
      <c r="F8" s="3" t="n">
        <v>8000</v>
      </c>
      <c r="G8" s="3" t="n">
        <v>11.74</v>
      </c>
      <c r="H8" s="3" t="s">
        <v>523</v>
      </c>
      <c r="I8" s="3" t="s">
        <v>521</v>
      </c>
      <c r="J8" s="3" t="s">
        <v>524</v>
      </c>
    </row>
    <row r="9" customFormat="false" ht="15" hidden="false" customHeight="true" outlineLevel="0" collapsed="false">
      <c r="A9" s="3" t="s">
        <v>227</v>
      </c>
      <c r="B9" s="3" t="s">
        <v>526</v>
      </c>
      <c r="C9" s="3" t="s">
        <v>519</v>
      </c>
      <c r="D9" s="3" t="n">
        <v>2407</v>
      </c>
      <c r="E9" s="3" t="n">
        <v>1838</v>
      </c>
      <c r="F9" s="3" t="n">
        <v>8000</v>
      </c>
      <c r="G9" s="3" t="n">
        <v>16.25</v>
      </c>
      <c r="H9" s="3" t="s">
        <v>525</v>
      </c>
      <c r="I9" s="3" t="s">
        <v>521</v>
      </c>
      <c r="J9" s="3" t="s">
        <v>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0"/>
  </cols>
  <sheetData>
    <row r="1" customFormat="false" ht="15" hidden="false" customHeight="true" outlineLevel="0" collapsed="false">
      <c r="A1" s="2" t="s">
        <v>527</v>
      </c>
    </row>
    <row r="3" customFormat="false" ht="34.5" hidden="false" customHeight="true" outlineLevel="0" collapsed="false">
      <c r="A3" s="4" t="s">
        <v>528</v>
      </c>
      <c r="B3" s="5" t="s">
        <v>529</v>
      </c>
    </row>
    <row r="4" customFormat="false" ht="23.25" hidden="false" customHeight="true" outlineLevel="0" collapsed="false">
      <c r="A4" s="4" t="s">
        <v>530</v>
      </c>
      <c r="B4" s="5" t="s">
        <v>531</v>
      </c>
    </row>
    <row r="5" customFormat="false" ht="34.5" hidden="false" customHeight="true" outlineLevel="0" collapsed="false">
      <c r="A5" s="4" t="s">
        <v>532</v>
      </c>
      <c r="B5" s="5" t="s">
        <v>533</v>
      </c>
    </row>
    <row r="6" customFormat="false" ht="23.25" hidden="false" customHeight="true" outlineLevel="0" collapsed="false">
      <c r="A6" s="4" t="s">
        <v>534</v>
      </c>
      <c r="B6" s="5" t="s">
        <v>535</v>
      </c>
    </row>
    <row r="7" customFormat="false" ht="34.5" hidden="false" customHeight="true" outlineLevel="0" collapsed="false">
      <c r="A7" s="4" t="s">
        <v>536</v>
      </c>
      <c r="B7" s="5" t="s">
        <v>537</v>
      </c>
    </row>
    <row r="8" customFormat="false" ht="15" hidden="false" customHeight="true" outlineLevel="0" collapsed="false">
      <c r="A8" s="4" t="s">
        <v>538</v>
      </c>
      <c r="B8" s="5" t="s">
        <v>539</v>
      </c>
    </row>
    <row r="9" customFormat="false" ht="15" hidden="false" customHeight="true" outlineLevel="0" collapsed="false">
      <c r="A9" s="4" t="s">
        <v>540</v>
      </c>
      <c r="B9" s="5" t="s">
        <v>541</v>
      </c>
    </row>
    <row r="10" customFormat="false" ht="15" hidden="false" customHeight="true" outlineLevel="0" collapsed="false">
      <c r="A10" s="4" t="s">
        <v>542</v>
      </c>
      <c r="B10" s="5" t="s">
        <v>543</v>
      </c>
    </row>
    <row r="11" customFormat="false" ht="15" hidden="false" customHeight="true" outlineLevel="0" collapsed="false">
      <c r="A11" s="4" t="s">
        <v>544</v>
      </c>
      <c r="B11" s="5" t="s">
        <v>545</v>
      </c>
    </row>
    <row r="12" customFormat="false" ht="15" hidden="false" customHeight="true" outlineLevel="0" collapsed="false">
      <c r="A12" s="4" t="s">
        <v>546</v>
      </c>
      <c r="B12" s="5" t="s">
        <v>543</v>
      </c>
    </row>
    <row r="13" customFormat="false" ht="15" hidden="false" customHeight="true" outlineLevel="0" collapsed="false">
      <c r="A13" s="4" t="s">
        <v>547</v>
      </c>
      <c r="B13" s="5" t="s">
        <v>548</v>
      </c>
    </row>
    <row r="14" customFormat="false" ht="23.25" hidden="false" customHeight="true" outlineLevel="0" collapsed="false">
      <c r="A14" s="4" t="s">
        <v>549</v>
      </c>
      <c r="B14" s="5" t="s">
        <v>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"/>
    <col collapsed="false" customWidth="true" hidden="false" outlineLevel="0" max="3" min="3" style="1" width="84"/>
  </cols>
  <sheetData>
    <row r="1" customFormat="false" ht="15" hidden="false" customHeight="true" outlineLevel="0" collapsed="false">
      <c r="A1" s="2" t="s">
        <v>551</v>
      </c>
    </row>
    <row r="3" customFormat="false" ht="15" hidden="false" customHeight="true" outlineLevel="0" collapsed="false">
      <c r="A3" s="4" t="s">
        <v>552</v>
      </c>
      <c r="B3" s="4" t="s">
        <v>553</v>
      </c>
      <c r="C3" s="4" t="s">
        <v>554</v>
      </c>
    </row>
    <row r="4" customFormat="false" ht="23.25" hidden="false" customHeight="true" outlineLevel="0" collapsed="false">
      <c r="A4" s="3" t="n">
        <v>1</v>
      </c>
      <c r="B4" s="5" t="s">
        <v>555</v>
      </c>
      <c r="C4" s="5" t="s">
        <v>556</v>
      </c>
    </row>
    <row r="5" customFormat="false" ht="23.25" hidden="false" customHeight="true" outlineLevel="0" collapsed="false">
      <c r="A5" s="3" t="n">
        <v>2</v>
      </c>
      <c r="B5" s="5" t="s">
        <v>557</v>
      </c>
      <c r="C5" s="5" t="s">
        <v>558</v>
      </c>
    </row>
    <row r="6" customFormat="false" ht="15" hidden="false" customHeight="true" outlineLevel="0" collapsed="false">
      <c r="A6" s="3" t="n">
        <v>3</v>
      </c>
      <c r="B6" s="5" t="s">
        <v>559</v>
      </c>
      <c r="C6" s="5" t="s">
        <v>560</v>
      </c>
    </row>
    <row r="7" customFormat="false" ht="23.25" hidden="false" customHeight="true" outlineLevel="0" collapsed="false">
      <c r="A7" s="3" t="n">
        <v>4</v>
      </c>
      <c r="B7" s="5" t="s">
        <v>561</v>
      </c>
      <c r="C7" s="5" t="s">
        <v>562</v>
      </c>
    </row>
    <row r="8" customFormat="false" ht="23.25" hidden="false" customHeight="true" outlineLevel="0" collapsed="false">
      <c r="A8" s="3" t="n">
        <v>5</v>
      </c>
      <c r="B8" s="5" t="s">
        <v>563</v>
      </c>
      <c r="C8" s="5" t="s">
        <v>564</v>
      </c>
    </row>
    <row r="9" customFormat="false" ht="15" hidden="false" customHeight="true" outlineLevel="0" collapsed="false">
      <c r="A9" s="3" t="n">
        <v>6</v>
      </c>
      <c r="B9" s="5" t="s">
        <v>565</v>
      </c>
      <c r="C9" s="5" t="s">
        <v>566</v>
      </c>
    </row>
    <row r="10" customFormat="false" ht="15" hidden="false" customHeight="true" outlineLevel="0" collapsed="false">
      <c r="A10" s="3" t="n">
        <v>7</v>
      </c>
      <c r="B10" s="5" t="s">
        <v>567</v>
      </c>
      <c r="C10" s="5" t="s">
        <v>568</v>
      </c>
    </row>
    <row r="11" customFormat="false" ht="23.25" hidden="false" customHeight="true" outlineLevel="0" collapsed="false">
      <c r="A11" s="3" t="n">
        <v>8</v>
      </c>
      <c r="B11" s="5" t="s">
        <v>569</v>
      </c>
      <c r="C11" s="5" t="s">
        <v>570</v>
      </c>
    </row>
    <row r="12" customFormat="false" ht="15" hidden="false" customHeight="true" outlineLevel="0" collapsed="false">
      <c r="A12" s="3" t="n">
        <v>9</v>
      </c>
      <c r="B12" s="5" t="s">
        <v>571</v>
      </c>
      <c r="C12" s="5" t="s">
        <v>572</v>
      </c>
    </row>
    <row r="13" customFormat="false" ht="15" hidden="false" customHeight="true" outlineLevel="0" collapsed="false">
      <c r="A13" s="3" t="n">
        <v>10</v>
      </c>
      <c r="B13" s="5" t="s">
        <v>573</v>
      </c>
      <c r="C13" s="5" t="s">
        <v>574</v>
      </c>
    </row>
    <row r="14" customFormat="false" ht="23.25" hidden="false" customHeight="true" outlineLevel="0" collapsed="false">
      <c r="A14" s="3" t="n">
        <v>11</v>
      </c>
      <c r="B14" s="5" t="s">
        <v>575</v>
      </c>
      <c r="C14" s="5" t="s">
        <v>576</v>
      </c>
    </row>
    <row r="15" customFormat="false" ht="46.25" hidden="false" customHeight="false" outlineLevel="0" collapsed="false">
      <c r="A15" s="8" t="n">
        <v>12</v>
      </c>
      <c r="B15" s="5" t="s">
        <v>577</v>
      </c>
      <c r="C15" s="5" t="s">
        <v>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2026-08-01T02:53:46Z</dcterms:created>
  <dc:creator>openpyxl</dc:creator>
  <dc:description/>
  <dc:language>en-US</dc:language>
  <cp:lastModifiedBy/>
  <dcterms:modified xsi:type="dcterms:W3CDTF">2026-08-09T01:46:35Z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