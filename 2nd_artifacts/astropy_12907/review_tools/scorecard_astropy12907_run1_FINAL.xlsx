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Summary" sheetId="1" state="visible" r:id="rId2"/>
    <sheet name="Coverage_strict" sheetId="2" state="visible" r:id="rId3"/>
    <sheet name="Precision_struct" sheetId="3" state="visible" r:id="rId4"/>
    <sheet name="Precision_unstr" sheetId="4" state="visible" r:id="rId5"/>
    <sheet name="Recoverability" sheetId="5" state="visible" r:id="rId6"/>
    <sheet name="SIF" sheetId="6" state="visible" r:id="rId7"/>
    <sheet name="Behavior_exec" sheetId="7" state="visible" r:id="rId8"/>
    <sheet name="SIF_detail" sheetId="8"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<sst xmlns="http://schemas.openxmlformats.org/spreadsheetml/2006/main" count="358" uniqueCount="300">
  <si>
    <t xml:space="preserve">SPINE pilot scorecard: astropy__astropy-12907 (run 1, FINAL)</t>
  </si>
  <si>
    <t xml:space="preserve">Four cells per model. Coverage metrics (recall, precision, SIF) are scored PLAN vs PLAN only: plan_unstructured against plan_structured, with representation as the single variable. The executing agent is a different modality (tools, real repo) and appears in the recoverability block and the behavior sheet only; it is the task-performance baseline for % Resolved at the Docker stage, not a coverage comparator. Ground truth: ground_truth_astropy12907_iter3.xlsx, 9 nodes, 6 obligations GT-01..GT-06. Prompt identity verified: both plan_unstructured runs sha256 d65a655202a3ffd4; both structured requests sha256 20340444677bea58. Green = locked by construction or by artifact. Yellow = judgment, overridable.</t>
  </si>
  <si>
    <t xml:space="preserve">CONTAMINATION DISCLOSURE: the Claude artifacts name _cstack, which appears nowhere in the request. That is training recall and it may inflate content specificity. Gemini names no _cstack. separable.py is NOT contamination: it is derivable from the intent's own import line. TC/AC/EF are structural and untouched.</t>
  </si>
  <si>
    <t xml:space="preserve">Metric</t>
  </si>
  <si>
    <t xml:space="preserve">CLAUDE plan_unstr</t>
  </si>
  <si>
    <t xml:space="preserve">CLAUDE plan_struct</t>
  </si>
  <si>
    <t xml:space="preserve">GEMINI plan_unstr</t>
  </si>
  <si>
    <t xml:space="preserve">GEMINI plan_struct</t>
  </si>
  <si>
    <t xml:space="preserve">Basis</t>
  </si>
  <si>
    <t xml:space="preserve">Recall (/6 obligations)</t>
  </si>
  <si>
    <t xml:space="preserve">Coverage_strict; denominator 6. GEMINI struct 0.92 (5.5/6): GT-03 scores 0.5, no characterization step, under the strict criterion applied identically to all four artifacts.</t>
  </si>
  <si>
    <t xml:space="preserve">Precision</t>
  </si>
  <si>
    <t xml:space="preserve">Per-node ledgers. Unit = one policy (tree) or one asserted step (prose). ROOT EXCLUDED from the trees, per the AV convention: P0 restates the intent and cannot score below 1. Denominators 16 / 5 for the trees, 18 / 4 for the prose. UNIT ASYMMETRY: Claude's prose exposes 18 steps and Gemini's 4, so the two prose figures are not comparable to each other; each is comparable to its own structured counterpart.</t>
  </si>
  <si>
    <t xml:space="preserve">TC  trace coverage</t>
  </si>
  <si>
    <t xml:space="preserve">RULING #12: prose diagram does not qualify; lineage must be per-node retrievable</t>
  </si>
  <si>
    <t xml:space="preserve">AC  accountability</t>
  </si>
  <si>
    <t xml:space="preserve">no definer exists in prose, so nothing to recover; every tree node carries definer</t>
  </si>
  <si>
    <t xml:space="preserve">EF  explanation fidelity</t>
  </si>
  <si>
    <t xml:space="preserve">reasoning present but not anchored as a per-node field; every tree node carries rationale</t>
  </si>
  <si>
    <t xml:space="preserve">SIF (5 root elements)</t>
  </si>
  <si>
    <t xml:space="preserve">SIF_detail sheet. 0/0.5/1 rubric under Criterion A (addressability), applied uniformly to all five elements. 0.30 not 0.40: the prior studies scored spatial 1.0 under a fragmentation criterion. Open for Dr. Nasim; see SIF_detail row 7.</t>
  </si>
  <si>
    <t xml:space="preserve">READ THE BLOCKS SEPARATELY. Coverage (recall, precision, SIF) varies with the model and the task: both models cover the answer key well, so capability is not the variable. Recoverability (TC, AC, EF) does not move at all: 0.00 unstructured, 1.00 structured, both vendors. That is the contribution, isolated. Coverage cannot explain the gap here; only the representation can.</t>
  </si>
  <si>
    <t xml:space="preserve">TC IS THE ONE LIVE JUDGMENT. Claude's unstructured prose invented ids (P1.1..P6.3) and a detached ASCII dependency graph. A path IS reconstructible by a human reading the whole document. It scores 0.00 because lineage must be retrievable per node, not depicted document-wide, which is the O(depth) versus O(n) distinction the paper claims. Flip this cell and report it if you rule the other way.</t>
  </si>
  <si>
    <t xml:space="preserve">NEITHER PLAN PROPOSES THE REFERENCE FIX. The human patch is one line in _cstack (cright[...] = 1 becomes = right). Both plans propose a recursion redesign instead. Refinement correctness is not what this pilot measures (Jul 21: the assurance engine is assumed to do its job); recorded so the Docker stage confirms or overturns it rather than discovering it late.</t>
  </si>
  <si>
    <t xml:space="preserve">OPEN FOR DR. NASIM (neither blocks any conclusion; both are about what the metric measures, not what the artifacts contain)</t>
  </si>
  <si>
    <t xml:space="preserve">Q-A. SIF spatial rubric. Prose spatial is scored 0.5 here under the addressability criterion used by TC, AC and EF: present in the document is not the same as retrievable at the node. The submitted studies scored it 1.0 under a fragmentation criterion (stated whole vs reassembled from specializations) that appears nowhere else in the metric suite. Unstructured SIF is therefore 0.30 here and 0.40 there, differing in exactly one cell. Either recompute the prior studies or report the two rubrics side by side.</t>
  </si>
  <si>
    <t xml:space="preserve">Q-B. Does SIF score field PRESENCE or AGREEMENT with the ground-truth value? Gemini structured carries context = 'issue-resolution' where the GT root has 'production'. Scored 1.0 here on presence: the field is populated and readable, so the lineage question can be answered, which is what SIF measures. Whether the value is the right one is a refinement-quality question, and quality is out of scope for this stage per the Jul 21 direction that the assurance engine is assumed to do its job. Score 0.5 if she rules SIF against the GT value.</t>
  </si>
  <si>
    <t xml:space="preserve">Recall: which of the 6 answer-key obligations does each plan cover?</t>
  </si>
  <si>
    <t xml:space="preserve">1 = covered, 0.5 = gestured at without naming, 0 = absent. Edit the marks; totals re-derive. Denominator is 6 (GT-01..GT-06); the 3 scaffolding GT nodes are excluded, as in every prior GT.</t>
  </si>
  <si>
    <t xml:space="preserve">GT id</t>
  </si>
  <si>
    <t xml:space="preserve">Obligation</t>
  </si>
  <si>
    <t xml:space="preserve">CLAUDE unstr</t>
  </si>
  <si>
    <t xml:space="preserve">CLAUDE struct</t>
  </si>
  <si>
    <t xml:space="preserve">GEMINI unstr</t>
  </si>
  <si>
    <t xml:space="preserve">GEMINI struct</t>
  </si>
  <si>
    <t xml:space="preserve">Notes</t>
  </si>
  <si>
    <t xml:space="preserve">GT-01</t>
  </si>
  <si>
    <t xml:space="preserve">Reproduce the reported incorrect behavior</t>
  </si>
  <si>
    <t xml:space="preserve">C: G1/P1.1-P1.2 pin env and run the three calls verbatim. CS: P2 + P2.1 run the reproduction script. G: Policy 1 creates and runs the reproduction script. GS: P2 reproduce.</t>
  </si>
  <si>
    <t xml:space="preserve">GT-02</t>
  </si>
  <si>
    <t xml:space="preserve">Localize the defect in the separability computation</t>
  </si>
  <si>
    <t xml:space="preserve">C: G2/P2.1-P2.3 trace the entry point and audit the combinator. CS: P3 trace + P1 monitor. G: Policy 1 search and locate. GS: P1 locate.</t>
  </si>
  <si>
    <t xml:space="preserve">GT-03</t>
  </si>
  <si>
    <t xml:space="preserve">Characterize why nesting specifically breaks it</t>
  </si>
  <si>
    <t xml:space="preserve">STRICT CRITERION, applied identically to all four: does the plan contain a step whose stated purpose is to explain the mechanism, distinct from locating the code and distinct from designing the fix? CLAUDE unstr G3 asserts the block-diagonal invariant and pinpoints the divergence = 1. CLAUDE struct P3.1 compares flat vs nested and P3.2 identifies the combination logic = 1. GEMINI unstr Policy 2 'Identify the Defect' names the mechanism twice ('treats nested CompoundModels as leaf nodes, assuming all inputs and outputs are fully coupled' and 'recursion fails to retrieve the pre-calculated separability matrix'). Both are correct descriptions of the real defect; the verbs hedge ('determine if', 'check if') but the content is right, and hedging is not the criterion = 1. GEMINI struct has NO such step: P1 is locate, P3 is design, and the understanding appears only as a purpose clause inside P1's rationale ('necessary to understand how it processes nested CompoundModels'). Compression effect: six nodes absorb work the same model gave its own heading in prose = 0.5.</t>
  </si>
  <si>
    <t xml:space="preserve">GT-04</t>
  </si>
  <si>
    <t xml:space="preserve">Correct the computation for nested CompoundModels</t>
  </si>
  <si>
    <t xml:space="preserve">C: G4/P4.2-P4.3. CS: P5 edit. G: Policy 3 apply the fix. GS: P4 patch. Note none of the four names the actual one-line _cstack assignment.</t>
  </si>
  <si>
    <t xml:space="preserve">GT-05</t>
  </si>
  <si>
    <t xml:space="preserve">Verify the reported case yields the expected output</t>
  </si>
  <si>
    <t xml:space="preserve">C: P5.1 TEST_CASE_3 asserts the nested case. CS: P5.1 validate against the intent's matrices. G: Policy 4 verify with the expected array. GS: P5 test covers verify and preserve in one node.</t>
  </si>
  <si>
    <t xml:space="preserve">GT-06</t>
  </si>
  <si>
    <t xml:space="preserve">Preserve existing behavior (no regressions)</t>
  </si>
  <si>
    <t xml:space="preserve">C: P5.2 full suite, 0 new failures. CS: P6.1 run the existing suite (carries GT-06 per ruling #2, NOT P6). G: Policy 4 run existing tests. GS: P5 test, same node as GT-05.</t>
  </si>
  <si>
    <t xml:space="preserve">RECALL</t>
  </si>
  <si>
    <t xml:space="preserve">Both models cover the key well in both representations. That is the point: capability is not the variable being tested, so coverage cannot explain the recoverability gap.</t>
  </si>
  <si>
    <t xml:space="preserve">GEMINI IS THE ONLY MODEL WHERE THE STRUCTURED ARM SCORES LOWER ON COVERAGE: 1.00 unstructured vs 0.92 structured (5.5 of 6). Report it, do not soften it. A scorecard where the treatment wins every cell reads as authored; one where the schema costs half a point, on a compression effect that can be explained, reads as measured. It is also the direct answer to the sharpest objection: the schema did not manufacture coverage.</t>
  </si>
  <si>
    <t xml:space="preserve">SHARED TEST-SUITE PRIOR, all four artifacts. The intent contains ZERO occurrences of 'test'. Yet every artifact, both vendors and both representations, supplies a test regime: Gemini unstructured predicts the path ('typically in astropy/modeling/tests/test_separable.py'), Claude unstructured names five specific test cases, and both trees carry test branches. KEEP THIS DISTINCT FROM _cstack CONTAMINATION: the test-file location follows from standard Python project layout and is guessable; _cstack is a specific buggy symbol that is not. Conflating them lets a reviewer dismiss both. Consequence: ruling #2 (new-test authoring is beyond-intent) is strengthened, because the test regime is a model prior about software engineering practice, not a product of the refinement.</t>
  </si>
  <si>
    <t xml:space="preserve">Precision: is each emitted policy inside the intent?</t>
  </si>
  <si>
    <t xml:space="preserve">1 = relevant, 0 = beyond-intent. Unit = one policy. Rulings applied: #2 (new-test authoring = 0, running the existing suite = 1), #3 (delivery branch = 0), #6 (Monitor node = 1, relevant).</t>
  </si>
  <si>
    <t xml:space="preserve">CLAUDE id</t>
  </si>
  <si>
    <t xml:space="preserve">action / resource</t>
  </si>
  <si>
    <t xml:space="preserve">rel</t>
  </si>
  <si>
    <t xml:space="preserve">note</t>
  </si>
  <si>
    <t xml:space="preserve">GEMINI id</t>
  </si>
  <si>
    <t xml:space="preserve">P0</t>
  </si>
  <si>
    <t xml:space="preserve">fix / separability_matrix</t>
  </si>
  <si>
    <t xml:space="preserve">ROOT EXCLUDED from precision. P0's own rationale reads 'Restates the raw intent', level declarative, parent_id null, Orchestrator-enforced. It is the intent restated, not a derived step. Same convention as the AV study, where including the root spuriously matched Copilot's P0 to GT-02 and wrongly flagged Gemini's P0 as a false positive. It also cannot score anything but 1, so leaving it in the denominator hands the structured arm a guaranteed point no unstructured artifact has an equivalent for. Still checked structurally, never scored.</t>
  </si>
  <si>
    <t xml:space="preserve">resolve / separability bug</t>
  </si>
  <si>
    <t xml:space="preserve">ROOT EXCLUDED, same basis. Gemini P0 rationale: 'Restates the raw intent to fix the incorrect separability matrix calculation.'</t>
  </si>
  <si>
    <t xml:space="preserve">P1</t>
  </si>
  <si>
    <t xml:space="preserve">monitor / function and call graph</t>
  </si>
  <si>
    <t xml:space="preserve">RULING #6: relevant. Its rationale is bounded pre-fix observation ('before any fix can be planned'); T=always is the request's stated default and 'continuously' is a cadence word the request classifies as a firing condition, not a temporal value.</t>
  </si>
  <si>
    <t xml:space="preserve">locate / implementation</t>
  </si>
  <si>
    <t xml:space="preserve">P2</t>
  </si>
  <si>
    <t xml:space="preserve">reproduce / failing nested cases</t>
  </si>
  <si>
    <t xml:space="preserve">reproduce / nested test case</t>
  </si>
  <si>
    <t xml:space="preserve">P2.1</t>
  </si>
  <si>
    <t xml:space="preserve">run / reproduction script</t>
  </si>
  <si>
    <t xml:space="preserve">GT-01 executable</t>
  </si>
  <si>
    <t xml:space="preserve">P3</t>
  </si>
  <si>
    <t xml:space="preserve">design / traversal algorithm</t>
  </si>
  <si>
    <t xml:space="preserve">trace / call graph incl _cstack</t>
  </si>
  <si>
    <t xml:space="preserve">GT-02. Names _cstack: contamination, disclosed.</t>
  </si>
  <si>
    <t xml:space="preserve">P4</t>
  </si>
  <si>
    <t xml:space="preserve">patch / separability code</t>
  </si>
  <si>
    <t xml:space="preserve">P3.1</t>
  </si>
  <si>
    <t xml:space="preserve">compare / flat vs nested matrix</t>
  </si>
  <si>
    <t xml:space="preserve">P5</t>
  </si>
  <si>
    <t xml:space="preserve">test / reproduction + existing suite</t>
  </si>
  <si>
    <t xml:space="preserve">GT-05 and GT-06 in one node; no new-test authoring, so no #2 deduction</t>
  </si>
  <si>
    <t xml:space="preserve">P3.2</t>
  </si>
  <si>
    <t xml:space="preserve">identify / traversal and combination logic</t>
  </si>
  <si>
    <t xml:space="preserve">decide / code change strategy</t>
  </si>
  <si>
    <t xml:space="preserve">plan hub</t>
  </si>
  <si>
    <t xml:space="preserve">P4.1</t>
  </si>
  <si>
    <t xml:space="preserve">design / recursive unwrapping</t>
  </si>
  <si>
    <t xml:space="preserve">bears P5 and P5.1 per the Jul 21 ruling</t>
  </si>
  <si>
    <t xml:space="preserve">P4.2</t>
  </si>
  <si>
    <t xml:space="preserve">design / regression test cases</t>
  </si>
  <si>
    <t xml:space="preserve">RULING #2: authoring new tests is beyond-intent. Intent Ctrl-F 'test' = 0 hits; the harness grades with its own hidden tests.</t>
  </si>
  <si>
    <t xml:space="preserve">edit / _separable branch</t>
  </si>
  <si>
    <t xml:space="preserve">P5.1</t>
  </si>
  <si>
    <t xml:space="preserve">validate / patched output vs expected</t>
  </si>
  <si>
    <t xml:space="preserve">GT-05. Parent pointer says P5; per the ruling its lineage parent is P4.1 and the pointer is sequencing.</t>
  </si>
  <si>
    <t xml:space="preserve">P6</t>
  </si>
  <si>
    <t xml:space="preserve">write / new pytest functions</t>
  </si>
  <si>
    <t xml:space="preserve">RULING #2: beyond-intent</t>
  </si>
  <si>
    <t xml:space="preserve">P6.1</t>
  </si>
  <si>
    <t xml:space="preserve">run / existing separable suite</t>
  </si>
  <si>
    <t xml:space="preserve">GT-06. This is the node that carries GT-06 recall.</t>
  </si>
  <si>
    <t xml:space="preserve">P7</t>
  </si>
  <si>
    <t xml:space="preserve">decide / pull-request change set</t>
  </si>
  <si>
    <t xml:space="preserve">RULING #3: delivery branch</t>
  </si>
  <si>
    <t xml:space="preserve">P7.1</t>
  </si>
  <si>
    <t xml:space="preserve">commit / changed files</t>
  </si>
  <si>
    <t xml:space="preserve">RULING #3</t>
  </si>
  <si>
    <t xml:space="preserve">P7.2</t>
  </si>
  <si>
    <t xml:space="preserve">submit / PR to astropy main</t>
  </si>
  <si>
    <t xml:space="preserve">RULING #3. Also an unverified repo assumption; structure made it vetoable pre-execution.</t>
  </si>
  <si>
    <t xml:space="preserve">PRECISION</t>
  </si>
  <si>
    <t xml:space="preserve">Gemini emits nothing beyond the intent, so its precision is 1.00 on 6 nodes while Claude pays for a test-authoring branch and a delivery branch. Ruling #13 records that this drift is a MODEL trait, not a product of the schema: Claude's unstructured prose drifted the same way with no schema present.</t>
  </si>
  <si>
    <t xml:space="preserve">ROOT EXCLUSION, applied Jul 26 for consistency with the submitted paper. Precision denominators are 16 (Claude) and 5 (Gemini), not 17 and 6. The prose sheets have no root to exclude: neither plan emits an intent-restating node, so all asserted steps are scored.</t>
  </si>
  <si>
    <t xml:space="preserve">Precision: asserted steps extracted from prose</t>
  </si>
  <si>
    <t xml:space="preserve">Unit = one asserted step, the convention inherited from the paper's unstructured setting (5/8). Claude's prose supplies its own step ids; Gemini's does not, so its four policies are the steps.</t>
  </si>
  <si>
    <t xml:space="preserve">CLAUDE step</t>
  </si>
  <si>
    <t xml:space="preserve">content</t>
  </si>
  <si>
    <t xml:space="preserve">GEMINI step</t>
  </si>
  <si>
    <t xml:space="preserve">P1.1</t>
  </si>
  <si>
    <t xml:space="preserve">environment pinning, run the 3 calls</t>
  </si>
  <si>
    <t xml:space="preserve">Policy 1</t>
  </si>
  <si>
    <t xml:space="preserve">localization and diagnostics</t>
  </si>
  <si>
    <t xml:space="preserve">GT-01 and GT-02</t>
  </si>
  <si>
    <t xml:space="preserve">P1.2</t>
  </si>
  <si>
    <t xml:space="preserve">minimal reproducer canonicalization</t>
  </si>
  <si>
    <t xml:space="preserve">Policy 2</t>
  </si>
  <si>
    <t xml:space="preserve">analysis and design</t>
  </si>
  <si>
    <t xml:space="preserve">GT-03 partial and design</t>
  </si>
  <si>
    <t xml:space="preserve">entry-point tracing</t>
  </si>
  <si>
    <t xml:space="preserve">Policy 3</t>
  </si>
  <si>
    <t xml:space="preserve">implementation, plus PEP 8 note</t>
  </si>
  <si>
    <t xml:space="preserve">GT-04. The style clause is minor drift, not scored separately.</t>
  </si>
  <si>
    <t xml:space="preserve">P2.2</t>
  </si>
  <si>
    <t xml:space="preserve">recursive structure inspection</t>
  </si>
  <si>
    <t xml:space="preserve">Policy 4</t>
  </si>
  <si>
    <t xml:space="preserve">verification and testing</t>
  </si>
  <si>
    <t xml:space="preserve">GT-05, GT-06, and an add-regression-tests clause. JUDGMENT: the add-tests clause would be 0 under ruling #2 if scored as its own step; it is fused here, so the node scores 1.</t>
  </si>
  <si>
    <t xml:space="preserve">P2.3</t>
  </si>
  <si>
    <t xml:space="preserve">matrix combination audit (_cstack)</t>
  </si>
  <si>
    <t xml:space="preserve">block-diagonal invariant contract</t>
  </si>
  <si>
    <t xml:space="preserve">GT-03. Also asks for a docstring-level contract, borderline.</t>
  </si>
  <si>
    <t xml:space="preserve">hypothesis confirmation with debug prints</t>
  </si>
  <si>
    <t xml:space="preserve">P3.3</t>
  </si>
  <si>
    <t xml:space="preserve">defect pinpointing to line numbers</t>
  </si>
  <si>
    <t xml:space="preserve">fix scope constraint</t>
  </si>
  <si>
    <t xml:space="preserve">scopes GT-04</t>
  </si>
  <si>
    <t xml:space="preserve">recursive dispatch fix</t>
  </si>
  <si>
    <t xml:space="preserve">GT-04. The proposed fix is not the reference patch.</t>
  </si>
  <si>
    <t xml:space="preserve">P4.3</t>
  </si>
  <si>
    <t xml:space="preserve">leaf vs compound guard</t>
  </si>
  <si>
    <t xml:space="preserve">P4.4</t>
  </si>
  <si>
    <t xml:space="preserve">fix atomicity, commit message format</t>
  </si>
  <si>
    <t xml:space="preserve">beyond-intent, delivery. Same basis as ruling #3.</t>
  </si>
  <si>
    <t xml:space="preserve">author 5 exact-value regression tests</t>
  </si>
  <si>
    <t xml:space="preserve">JUDGMENT. Ruling #2 says authoring new tests is beyond-intent, so 0. But TEST_CASE_3 is where the reported case is verified, so GT-05 recall rides on a node scored 0 here. Same shape as the P6/P6.1 split in the tree, except the prose fuses them. Flip to 1 if you rule the split cannot be applied to fused prose.</t>
  </si>
  <si>
    <t xml:space="preserve">P5.2</t>
  </si>
  <si>
    <t xml:space="preserve">run the full suite, 0 new failures</t>
  </si>
  <si>
    <t xml:space="preserve">P5.3</t>
  </si>
  <si>
    <t xml:space="preserve">parametrized property test</t>
  </si>
  <si>
    <t xml:space="preserve">beyond-intent, new tests</t>
  </si>
  <si>
    <t xml:space="preserve">docstring update</t>
  </si>
  <si>
    <t xml:space="preserve">beyond-intent, documentation</t>
  </si>
  <si>
    <t xml:space="preserve">P6.2</t>
  </si>
  <si>
    <t xml:space="preserve">CHANGES.rst changelog entry</t>
  </si>
  <si>
    <t xml:space="preserve">P6.3</t>
  </si>
  <si>
    <t xml:space="preserve">beyond-intent, procedural</t>
  </si>
  <si>
    <t xml:space="preserve">UNIT ASYMMETRY, disclose it: Claude's prose exposes 18 steps and Gemini's exposes 4, so the two precision figures are not directly comparable to each other. Each is comparable to its own structured counterpart, which is the contrast the sheet is for.</t>
  </si>
  <si>
    <t xml:space="preserve">TC / AC / EF across all six artifacts</t>
  </si>
  <si>
    <t xml:space="preserve">Structural only, never content quality. Zeros mean the FIELD DOES NOT EXIST in that representation, not that no reasoning was recorded. Green cells are locked by artifact inspection; the one yellow cell is ruling #12.</t>
  </si>
  <si>
    <t xml:space="preserve">Artifact</t>
  </si>
  <si>
    <t xml:space="preserve">modality</t>
  </si>
  <si>
    <t xml:space="preserve">nodes / events</t>
  </si>
  <si>
    <t xml:space="preserve">TC</t>
  </si>
  <si>
    <t xml:space="preserve">AC</t>
  </si>
  <si>
    <t xml:space="preserve">EF</t>
  </si>
  <si>
    <t xml:space="preserve">basis</t>
  </si>
  <si>
    <t xml:space="preserve">CLAUDE plan_structured</t>
  </si>
  <si>
    <t xml:space="preserve">plan</t>
  </si>
  <si>
    <t xml:space="preserve">17 policies</t>
  </si>
  <si>
    <t xml:space="preserve">verified: all 17 carry parent_id, definer and rationale; 0 missing</t>
  </si>
  <si>
    <t xml:space="preserve">GEMINI plan_structured</t>
  </si>
  <si>
    <t xml:space="preserve">6 policies</t>
  </si>
  <si>
    <t xml:space="preserve">verified: all 6 carry parent_id, definer and rationale; 0 missing</t>
  </si>
  <si>
    <t xml:space="preserve">CLAUDE plan_unstructured</t>
  </si>
  <si>
    <t xml:space="preserve">18 asserted steps</t>
  </si>
  <si>
    <t xml:space="preserve">RULING #12. Ids and a detached ASCII dependency graph were invented with no schema in the prompt, so a path IS reconstructible by reading the whole document. TC=0 because lineage must be retrievable per node, not depicted document-wide. AC=0: no definer exists anywhere. EF=0: reasoning is present but not anchored to a node as a field.</t>
  </si>
  <si>
    <t xml:space="preserve">GEMINI plan_unstructured</t>
  </si>
  <si>
    <t xml:space="preserve">4 policies</t>
  </si>
  <si>
    <t xml:space="preserve">flat prose, no ids at all; the single 'parent' probe hit is the domain phrase 'parent model's matrix', not a pointer</t>
  </si>
  <si>
    <t xml:space="preserve">CLAUDE exec_unstructured</t>
  </si>
  <si>
    <t xml:space="preserve">exec</t>
  </si>
  <si>
    <t xml:space="preserve">13 events</t>
  </si>
  <si>
    <t xml:space="preserve">flat trajectory: thought/action/observation only, by construction</t>
  </si>
  <si>
    <t xml:space="preserve">GEMINI exec_unstructured</t>
  </si>
  <si>
    <t xml:space="preserve">30 events</t>
  </si>
  <si>
    <t xml:space="preserve">flat trajectory, budget exhausted; same construction</t>
  </si>
  <si>
    <t xml:space="preserve">THIS IS THE RESULT. Two vendors, two modalities, three unstructured artifacts, all 0.00. Two structured artifacts, both 1.00. The 17-policy and 6-policy trees score identically despite a 3x size difference and a large capability gap, which is the cross-vendor form of the claim: recoverability comes from the representation, not the model.</t>
  </si>
  <si>
    <t xml:space="preserve">Semantic Intent Fidelity: 5 root-tuple elements</t>
  </si>
  <si>
    <t xml:space="preserve">Scored once at intent level on Action, Resource, Spatial, Temporal, Context (Definer and Enforcer excluded). Rubric 0 / 0.5 / 1.0: 1.0 carried as a recoverable field, 0.5 present in prose but not fielded, 0 absent.</t>
  </si>
  <si>
    <t xml:space="preserve">Element</t>
  </si>
  <si>
    <t xml:space="preserve">Action</t>
  </si>
  <si>
    <t xml:space="preserve">unstr: 'resolve the issue' / 'fix' stated in prose, not a field. struct: action=fix / action=resolve on P0.</t>
  </si>
  <si>
    <t xml:space="preserve">Resource</t>
  </si>
  <si>
    <t xml:space="preserve">unstr: separability_matrix named in prose. struct: constraints.resource on P0.</t>
  </si>
  <si>
    <t xml:space="preserve">Spatial</t>
  </si>
  <si>
    <t xml:space="preserve">CRITERION A (addressability), applied uniformly: prose states astropy/modeling/separable.py but does not field it, so 0.5 like Action and Resource. Changed from 1.0; the prior studies used a fragmentation criterion that appears nowhere else in the suite. Full reasoning and the question for Dr. Nasim are on SIF_detail row 7.</t>
  </si>
  <si>
    <t xml:space="preserve">Temporal</t>
  </si>
  <si>
    <t xml:space="preserve">unstr: no timing content at all in either prose plan. struct: temporal=always on every node, which is the request's stated default.</t>
  </si>
  <si>
    <t xml:space="preserve">Context</t>
  </si>
  <si>
    <t xml:space="preserve">unstr: no operating-mode statement. struct: context=production on P0.</t>
  </si>
  <si>
    <t xml:space="preserve">SIF</t>
  </si>
  <si>
    <t xml:space="preserve">Unstructured SIF is 0.30 under the uniform criterion. The prior protect_files and embodied studies report 0.40, which differs ONLY in the spatial cell. Nothing else in this scorecard moves either way, and no conclusion changes: 0.30 vs 1.00 says exactly what 0.40 vs 1.00 says.</t>
  </si>
  <si>
    <t xml:space="preserve">Executing agent: behavior stats (NOT a coverage comparator)</t>
  </si>
  <si>
    <t xml:space="preserve">Reported to understand the baseline before adding structure (Jul 14 directive D2), and as the task-performance baseline for % Resolved at the Docker stage. TIER CONFOUND: Gemini 3 ships flash tiers only, so this is flash against Sonnet. Do NOT claim one model beats the other.</t>
  </si>
  <si>
    <t xml:space="preserve">Measure</t>
  </si>
  <si>
    <t xml:space="preserve">CLAUDE exec</t>
  </si>
  <si>
    <t xml:space="preserve">GEMINI exec</t>
  </si>
  <si>
    <t xml:space="preserve">Reading</t>
  </si>
  <si>
    <t xml:space="preserve">model</t>
  </si>
  <si>
    <t xml:space="preserve">claude-sonnet-4-6</t>
  </si>
  <si>
    <t xml:space="preserve">gemini-3.5-flash</t>
  </si>
  <si>
    <t xml:space="preserve">tier confound, disclosed</t>
  </si>
  <si>
    <t xml:space="preserve">turns</t>
  </si>
  <si>
    <t xml:space="preserve">13</t>
  </si>
  <si>
    <t xml:space="preserve">30</t>
  </si>
  <si>
    <t xml:space="preserve">30 is OUR configured cap, not a benchmark standard</t>
  </si>
  <si>
    <t xml:space="preserve">outcome</t>
  </si>
  <si>
    <t xml:space="preserve">done</t>
  </si>
  <si>
    <t xml:space="preserve">budget_exhausted</t>
  </si>
  <si>
    <t xml:space="preserve">'budget exhausted' = the cap ended the run; the agent never chose to stop</t>
  </si>
  <si>
    <t xml:space="preserve">searches</t>
  </si>
  <si>
    <t xml:space="preserve">2</t>
  </si>
  <si>
    <t xml:space="preserve">7</t>
  </si>
  <si>
    <t xml:space="preserve">file opens</t>
  </si>
  <si>
    <t xml:space="preserve">8</t>
  </si>
  <si>
    <t xml:space="preserve">23</t>
  </si>
  <si>
    <t xml:space="preserve">edits</t>
  </si>
  <si>
    <t xml:space="preserve">1</t>
  </si>
  <si>
    <t xml:space="preserve">0</t>
  </si>
  <si>
    <t xml:space="preserve">Claude's single edit is character-identical to the human patch. Resolved = EXPECTED, not confirmed; the Docker harness has not run.</t>
  </si>
  <si>
    <t xml:space="preserve">silent turns</t>
  </si>
  <si>
    <t xml:space="preserve">5 / 13</t>
  </si>
  <si>
    <t xml:space="preserve">29 / 30</t>
  </si>
  <si>
    <t xml:space="preserve">tool call with no thought text; the audit texture the paper describes</t>
  </si>
  <si>
    <t xml:space="preserve">repeated actions</t>
  </si>
  <si>
    <t xml:space="preserve">12</t>
  </si>
  <si>
    <t xml:space="preserve">identical name and args seen before; ties to MAST step repetition and the Overthinking analysis-paralysis reading Dr. Nasim raised on Jul 21</t>
  </si>
  <si>
    <t xml:space="preserve">The finding is the contrast between the cells, not between the models: the flash-tier agent burned 30 turns without an edit in the executing cell, yet produced a complete, fully recoverable 6-policy tree in the structured plan cell. Capability varies wildly; structural recoverability does not.</t>
  </si>
  <si>
    <t xml:space="preserve">SIF evidence: where each intent element does and does not survive</t>
  </si>
  <si>
    <t xml:space="preserve">HOW SIF IS SCORED, read this first. SIF is scored ONCE per artifact at the INTENT level, on the five elements of the root tuple (Action, Resource, Spatial, Temporal, Context). Definer and Enforcer are excluded. It is NOT scored per policy. The question is: does the intent's meaning survive into this representation in a form that can be read back? Reference = the GT root tuple P0 in ground_truth_astropy12907_iter3.xlsx. CRITERION A, ADDRESSABILITY, applied uniformly: 1.0 = carried as a labelled field that can be read off directly. 0.5 = the content is present in running prose but is not a field, so it must be found by reading. 0 = absent entirely. This is the same criterion TC, AC and EF use: present in the document is not the same as retrievable at the node. Under it, no prose element can score 1.0.</t>
  </si>
  <si>
    <t xml:space="preserve">GT reference (P0)</t>
  </si>
  <si>
    <t xml:space="preserve">GEM struct</t>
  </si>
  <si>
    <t xml:space="preserve">CLAUDE unstr: where it appears</t>
  </si>
  <si>
    <t xml:space="preserve">GEM unstr: where it appears</t>
  </si>
  <si>
    <t xml:space="preserve">CU</t>
  </si>
  <si>
    <t xml:space="preserve">GU</t>
  </si>
  <si>
    <t xml:space="preserve">CS</t>
  </si>
  <si>
    <t xml:space="preserve">GS</t>
  </si>
  <si>
    <t xml:space="preserve">What a 1.0 would have required in prose</t>
  </si>
  <si>
    <t xml:space="preserve">fix</t>
  </si>
  <si>
    <t xml:space="preserve">field action = "fix"</t>
  </si>
  <si>
    <t xml:space="preserve">field action = "resolve"</t>
  </si>
  <si>
    <t xml:space="preserve">NOT a field. Present only in running prose: title "Nested CompoundModel Bug" (line 0) and the section heading "POLICY G4 - Correction" (line 106). The verb must be inferred from headings.</t>
  </si>
  <si>
    <t xml:space="preserve">NOT a field. Present only in the opening sentence, "To resolve the issue where separability_matrix fails to compute the correct separability" (line 0).</t>
  </si>
  <si>
    <t xml:space="preserve">A labelled element, e.g. a line reading "Action: fix" attached to the intent. A verb inside a heading or an opening sentence is content, not a field, so it scores 0.5.</t>
  </si>
  <si>
    <t xml:space="preserve">separability computation for nested CompoundModels</t>
  </si>
  <si>
    <t xml:space="preserve">field resource = "separability_matrix function in astropy.modeling.separable"</t>
  </si>
  <si>
    <t xml:space="preserve">field resource = "separability_matrix bug for nested CompoundModels"</t>
  </si>
  <si>
    <t xml:space="preserve">NOT a field. separability_matrix appears 24 times scattered through the document; no single place names the governed object.</t>
  </si>
  <si>
    <t xml:space="preserve">NOT a field. separability_matrix appears 7 times, first at line 0; no single place names the governed object.</t>
  </si>
  <si>
    <t xml:space="preserve">One labelled element naming the governed object once. Scattering the name 24 times through prose is not the same as carrying it as a field: a reader must decide which mention is the scope.</t>
  </si>
  <si>
    <t xml:space="preserve">astropy repository</t>
  </si>
  <si>
    <t xml:space="preserve">field spatial = "astropy repository codebase"</t>
  </si>
  <si>
    <t xml:space="preserve">field spatial = "astropy repository"</t>
  </si>
  <si>
    <t xml:space="preserve">STATED as an explicit path token: "astropy/modeling/separable.py" (line 54) and the scope constraint "Be confined to astropy/modeling/separable.py unless evidence" (line 127).</t>
  </si>
  <si>
    <t xml:space="preserve">STATED as an explicit path token: "Search the repository" (line 16) and "astropy/modeling/separable.py" (line 36).</t>
  </si>
  <si>
    <t xml:space="preserve">CRITERION A APPLIED (addressability). 0.5, not 1.0: the path is present in prose but is not a labelled field, exactly like Action and Resource. Nothing in prose is fielded, so nothing in prose can reach 1.0. CHANGED FROM 1.0 ON JUL 26, and the change is a consistency fix, not a re-reading of the artifacts. The prior studies scored spatial 1.0 under a DIFFERENT criterion (B, fragmentation): spatial was stated whole and read off directly, while action and resource were split across per-policy specializations and had to be reassembled. Criterion B appears nowhere else in the metric suite. TC scores 0 because lineage is depicted rather than retrievable per node; AC scores 0 because no definer field exists; EF scores 0 because reasoning is present but not anchored as a field. All three are addressability arguments. Criterion A is therefore the one that matches the paper, and it is also the harder criterion to argue with, since 'is it a field' is checkable and 'stated whole' is a judgment. CONSEQUENCE: unstructured SIF is 0.30, not the 0.40 reported in the prior studies. Flip these two cells back to 1.0 to restore 0.40. FOR DR. NASIM: the prior spatial 1.0 rests on a fragmentation criterion while the rest of the suite rests on addressability, and they disagree on exactly this one cell. Either recompute the prior studies at 0.30 or report the two rubrics side by side. She is the authority on conventions; nothing else in the scorecard moves either way.</t>
  </si>
  <si>
    <t xml:space="preserve">always</t>
  </si>
  <si>
    <t xml:space="preserve">field temporal = "always"</t>
  </si>
  <si>
    <t xml:space="preserve">ABSENT. Zero temporal statements. The single "always" hit is inside a code comment, "# always recurse fully" (line 147), which is control flow, not a temporal scope.</t>
  </si>
  <si>
    <t xml:space="preserve">ABSENT. Zero hits for always, continuously, deadline, or any period.</t>
  </si>
  <si>
    <t xml:space="preserve">Any statement of when the policy is in force. Neither plan makes one, in any form, so there is nothing to score at 0.5. NOTE: the intent itself states no temporal either; the structured arm earns 1.0 because the request instructs "always" as the stated default, so the field is populated and readable.</t>
  </si>
  <si>
    <t xml:space="preserve">production</t>
  </si>
  <si>
    <t xml:space="preserve">field context = "production"</t>
  </si>
  <si>
    <t xml:space="preserve">field context = "issue-resolution"  &lt;-- differs from the GT reference</t>
  </si>
  <si>
    <t xml:space="preserve">ABSENT. Zero operating-mode statements. The 3 apparent "production" hits are FALSE POSITIVES: all three are inside the word "Reproduction".</t>
  </si>
  <si>
    <t xml:space="preserve">ABSENT. Same false-positive check applied; the 3 "production" hits are all inside "Reproduction".</t>
  </si>
  <si>
    <t xml:space="preserve">Any statement of the operating mode (production, staging, sandbox). Neither plan makes one. JUDGMENT on GEMINI struct: its context field says "issue-resolution", not "production". The field is carried and readable, and the value is a defensible operating mode, so it scores 1.0 on preservation. Score it 0.5 if you rule SIF against the GT value rather than against field presence.</t>
  </si>
  <si>
    <t xml:space="preserve">WHY THE PROSE LOSES: 0.5 + 0.5 + 0.5 + 0 + 0 over 5 = 0.30. Action, Resource and Spatial are all present but unlabelled, so each is recoverable only by reading. Temporal and Context are not present in any form. The prior studies reported 0.40 because spatial was scored 1.0 under the fragmentation criterion; see the Spatial row.</t>
  </si>
  <si>
    <t xml:space="preserve">WHAT THIS MEASURES THAT COVERAGE DOES NOT. Recall asks whether the required work was named. SIF asks whether the intent's own semantics survived the refinement. A plan can name all six obligations (recall 1.00) and still lose when the policy applies and what mode the system is in (SIF 0.40). Those two lost elements are exactly what an operator needs at runtime to decide whether a policy is still in force.</t>
  </si>
</sst>
</file>

<file path=xl/styles.xml><?xml version="1.0" encoding="utf-8"?>
<styleSheet xmlns="http://schemas.openxmlformats.org/spreadsheetml/2006/main">
  <numFmts count="3">
    <numFmt numFmtId="164" formatCode="General"/>
    <numFmt numFmtId="165" formatCode="0.00"/>
    <numFmt numFmtId="166" formatCode="0.0"/>
  </numFmts>
  <fonts count="7">
    <font>
      <sz val="11"/>
      <color rgb="FF000000"/>
      <name val="Calibri"/>
      <family val="2"/>
      <charset val="1"/>
    </font>
    <font>
      <sz val="10"/>
      <name val="Arial"/>
      <family val="0"/>
    </font>
    <font>
      <sz val="10"/>
      <name val="Arial"/>
      <family val="0"/>
    </font>
    <font>
      <sz val="10"/>
      <name val="Arial"/>
      <family val="0"/>
    </font>
    <font>
      <b val="true"/>
      <sz val="13"/>
      <name val="Cambria"/>
      <family val="0"/>
      <charset val="1"/>
    </font>
    <font>
      <b val="true"/>
      <sz val="11"/>
      <name val="Cambria"/>
      <family val="0"/>
      <charset val="1"/>
    </font>
    <font>
      <b val="true"/>
      <sz val="12"/>
      <name val="Cambria"/>
      <family val="0"/>
      <charset val="1"/>
    </font>
  </fonts>
  <fills count="5">
    <fill>
      <patternFill patternType="none"/>
    </fill>
    <fill>
      <patternFill patternType="gray125"/>
    </fill>
    <fill>
      <patternFill patternType="solid">
        <fgColor rgb="FFFFE5CC"/>
        <bgColor rgb="FFFFF2CC"/>
      </patternFill>
    </fill>
    <fill>
      <patternFill patternType="solid">
        <fgColor rgb="FFFFF2CC"/>
        <bgColor rgb="FFFFE5CC"/>
      </patternFill>
    </fill>
    <fill>
      <patternFill patternType="solid">
        <fgColor rgb="FFE2EFDA"/>
        <bgColor rgb="FFFFF2CC"/>
      </patternFill>
    </fill>
  </fills>
  <borders count="2">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3" borderId="1" xfId="0" applyFont="false" applyBorder="true" applyAlignment="true" applyProtection="false">
      <alignment horizontal="general" vertical="top" textRotation="0" wrapText="true" indent="0" shrinkToFit="false"/>
      <protection locked="true" hidden="false"/>
    </xf>
    <xf numFmtId="165" fontId="0" fillId="4" borderId="1" xfId="0" applyFont="fals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0" fillId="3" borderId="1" xfId="0" applyFont="false" applyBorder="true" applyAlignment="true" applyProtection="false">
      <alignment horizontal="general" vertical="top" textRotation="0" wrapText="true" indent="0" shrinkToFit="false"/>
      <protection locked="true" hidden="false"/>
    </xf>
    <xf numFmtId="165" fontId="5" fillId="2" borderId="0" xfId="0" applyFont="true" applyBorder="false" applyAlignment="false" applyProtection="false">
      <alignment horizontal="general" vertical="bottom" textRotation="0" wrapText="false" indent="0" shrinkToFit="false"/>
      <protection locked="true" hidden="false"/>
    </xf>
    <xf numFmtId="164" fontId="0" fillId="3" borderId="1" xfId="0" applyFont="false" applyBorder="true" applyAlignment="true" applyProtection="false">
      <alignment horizontal="general" vertical="top" textRotation="0" wrapText="true" indent="0" shrinkToFit="false"/>
      <protection locked="true" hidden="false"/>
    </xf>
    <xf numFmtId="165" fontId="0" fillId="0" borderId="1" xfId="0" applyFont="fals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E5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cols>
    <col collapsed="false" customWidth="true" hidden="false" outlineLevel="0" max="1" min="1" style="0" width="30.01"/>
    <col collapsed="false" customWidth="true" hidden="false" outlineLevel="0" max="5" min="2" style="0" width="18"/>
    <col collapsed="false" customWidth="true" hidden="false" outlineLevel="0" max="6" min="6" style="0" width="61.99"/>
  </cols>
  <sheetData>
    <row r="1" customFormat="false" ht="1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2" t="s">
        <v>2</v>
      </c>
    </row>
    <row r="6" customFormat="false" ht="15" hidden="false" customHeight="false" outlineLevel="0" collapsed="false">
      <c r="A6" s="3" t="s">
        <v>3</v>
      </c>
      <c r="B6" s="3" t="s">
        <v>4</v>
      </c>
      <c r="C6" s="3" t="s">
        <v>5</v>
      </c>
      <c r="D6" s="3" t="s">
        <v>6</v>
      </c>
      <c r="E6" s="3" t="s">
        <v>7</v>
      </c>
      <c r="F6" s="3" t="s">
        <v>8</v>
      </c>
    </row>
    <row r="7" customFormat="false" ht="15" hidden="false" customHeight="false" outlineLevel="0" collapsed="false">
      <c r="A7" s="4" t="s">
        <v>9</v>
      </c>
      <c r="B7" s="5" t="n">
        <f aca="false">Coverage_strict!C12</f>
        <v>1</v>
      </c>
      <c r="C7" s="5" t="n">
        <f aca="false">Coverage_strict!D12</f>
        <v>1</v>
      </c>
      <c r="D7" s="5" t="n">
        <f aca="false">Coverage_strict!E12</f>
        <v>1</v>
      </c>
      <c r="E7" s="5" t="n">
        <f aca="false">Coverage_strict!F12</f>
        <v>0.916666666666667</v>
      </c>
      <c r="F7" s="4" t="s">
        <v>10</v>
      </c>
    </row>
    <row r="8" customFormat="false" ht="15" hidden="false" customHeight="false" outlineLevel="0" collapsed="false">
      <c r="A8" s="4" t="s">
        <v>11</v>
      </c>
      <c r="B8" s="5" t="n">
        <f aca="false">Precision_unstr!F22</f>
        <v>0.666666666666667</v>
      </c>
      <c r="C8" s="5" t="n">
        <f aca="false">Precision_struct!F22</f>
        <v>0.6875</v>
      </c>
      <c r="D8" s="5" t="n">
        <f aca="false">Precision_unstr!I22</f>
        <v>1</v>
      </c>
      <c r="E8" s="5" t="n">
        <f aca="false">Precision_struct!I8</f>
        <v>1</v>
      </c>
      <c r="F8" s="4" t="s">
        <v>12</v>
      </c>
    </row>
    <row r="9" customFormat="false" ht="15" hidden="false" customHeight="false" outlineLevel="0" collapsed="false">
      <c r="A9" s="4" t="s">
        <v>13</v>
      </c>
      <c r="B9" s="6" t="n">
        <v>0</v>
      </c>
      <c r="C9" s="6" t="n">
        <v>1</v>
      </c>
      <c r="D9" s="6" t="n">
        <v>0</v>
      </c>
      <c r="E9" s="6" t="n">
        <v>1</v>
      </c>
      <c r="F9" s="4" t="s">
        <v>14</v>
      </c>
    </row>
    <row r="10" customFormat="false" ht="15" hidden="false" customHeight="false" outlineLevel="0" collapsed="false">
      <c r="A10" s="4" t="s">
        <v>15</v>
      </c>
      <c r="B10" s="6" t="n">
        <v>0</v>
      </c>
      <c r="C10" s="6" t="n">
        <v>1</v>
      </c>
      <c r="D10" s="6" t="n">
        <v>0</v>
      </c>
      <c r="E10" s="6" t="n">
        <v>1</v>
      </c>
      <c r="F10" s="4" t="s">
        <v>16</v>
      </c>
    </row>
    <row r="11" customFormat="false" ht="15" hidden="false" customHeight="false" outlineLevel="0" collapsed="false">
      <c r="A11" s="4" t="s">
        <v>17</v>
      </c>
      <c r="B11" s="6" t="n">
        <v>0</v>
      </c>
      <c r="C11" s="6" t="n">
        <v>1</v>
      </c>
      <c r="D11" s="6" t="n">
        <v>0</v>
      </c>
      <c r="E11" s="6" t="n">
        <v>1</v>
      </c>
      <c r="F11" s="4" t="s">
        <v>18</v>
      </c>
    </row>
    <row r="12" customFormat="false" ht="15" hidden="false" customHeight="false" outlineLevel="0" collapsed="false">
      <c r="A12" s="4" t="s">
        <v>19</v>
      </c>
      <c r="B12" s="6" t="n">
        <v>0.3</v>
      </c>
      <c r="C12" s="6" t="n">
        <v>1</v>
      </c>
      <c r="D12" s="6" t="n">
        <v>0.3</v>
      </c>
      <c r="E12" s="6" t="n">
        <v>1</v>
      </c>
      <c r="F12" s="4" t="s">
        <v>20</v>
      </c>
    </row>
    <row r="14" customFormat="false" ht="15" hidden="false" customHeight="false" outlineLevel="0" collapsed="false">
      <c r="A14" s="2" t="s">
        <v>21</v>
      </c>
    </row>
    <row r="16" customFormat="false" ht="15" hidden="false" customHeight="false" outlineLevel="0" collapsed="false">
      <c r="A16" s="2" t="s">
        <v>22</v>
      </c>
    </row>
    <row r="18" customFormat="false" ht="15" hidden="false" customHeight="false" outlineLevel="0" collapsed="false">
      <c r="A18" s="2" t="s">
        <v>23</v>
      </c>
    </row>
    <row r="20" customFormat="false" ht="15" hidden="false" customHeight="false" outlineLevel="0" collapsed="false">
      <c r="A20" s="7" t="s">
        <v>24</v>
      </c>
    </row>
    <row r="21" customFormat="false" ht="15" hidden="false" customHeight="false" outlineLevel="0" collapsed="false">
      <c r="A21" s="2" t="s">
        <v>25</v>
      </c>
    </row>
    <row r="23" customFormat="false" ht="15" hidden="false" customHeight="false" outlineLevel="0" collapsed="false">
      <c r="A23" s="2" t="s">
        <v>26</v>
      </c>
    </row>
  </sheetData>
  <printOptions headings="false" gridLines="false" gridLinesSet="true" horizontalCentered="false" verticalCentered="false"/>
  <pageMargins left="0.75" right="0.75" top="1" bottom="1"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9" activeCellId="0" sqref="F9"/>
    </sheetView>
  </sheetViews>
  <sheetFormatPr defaultColWidth="8.6875" defaultRowHeight="15"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3" min="3" style="0" width="18.89"/>
    <col collapsed="false" customWidth="true" hidden="false" outlineLevel="0" max="4" min="4" style="0" width="24.31"/>
    <col collapsed="false" customWidth="true" hidden="false" outlineLevel="0" max="5" min="5" style="0" width="14.01"/>
    <col collapsed="false" customWidth="true" hidden="false" outlineLevel="0" max="6" min="6" style="0" width="26.67"/>
    <col collapsed="false" customWidth="true" hidden="false" outlineLevel="0" max="7" min="7" style="0" width="74"/>
  </cols>
  <sheetData>
    <row r="1" customFormat="false" ht="15" hidden="false" customHeight="false" outlineLevel="0" collapsed="false">
      <c r="A1" s="7" t="s">
        <v>27</v>
      </c>
    </row>
    <row r="2" customFormat="false" ht="15" hidden="false" customHeight="false" outlineLevel="0" collapsed="false">
      <c r="A2" s="2" t="s">
        <v>28</v>
      </c>
    </row>
    <row r="4" customFormat="false" ht="15" hidden="false" customHeight="false" outlineLevel="0" collapsed="false">
      <c r="A4" s="3" t="s">
        <v>29</v>
      </c>
      <c r="B4" s="3" t="s">
        <v>30</v>
      </c>
      <c r="C4" s="3" t="s">
        <v>31</v>
      </c>
      <c r="D4" s="3" t="s">
        <v>32</v>
      </c>
      <c r="E4" s="3" t="s">
        <v>33</v>
      </c>
      <c r="F4" s="3" t="s">
        <v>34</v>
      </c>
      <c r="G4" s="3" t="s">
        <v>35</v>
      </c>
    </row>
    <row r="5" customFormat="false" ht="15" hidden="false" customHeight="false" outlineLevel="0" collapsed="false">
      <c r="A5" s="4" t="s">
        <v>36</v>
      </c>
      <c r="B5" s="4" t="s">
        <v>37</v>
      </c>
      <c r="C5" s="8" t="n">
        <v>1</v>
      </c>
      <c r="D5" s="8" t="n">
        <v>1</v>
      </c>
      <c r="E5" s="8" t="n">
        <v>1</v>
      </c>
      <c r="F5" s="8" t="n">
        <v>1</v>
      </c>
      <c r="G5" s="4" t="s">
        <v>38</v>
      </c>
    </row>
    <row r="6" customFormat="false" ht="15" hidden="false" customHeight="false" outlineLevel="0" collapsed="false">
      <c r="A6" s="4" t="s">
        <v>39</v>
      </c>
      <c r="B6" s="4" t="s">
        <v>40</v>
      </c>
      <c r="C6" s="8" t="n">
        <v>1</v>
      </c>
      <c r="D6" s="8" t="n">
        <v>1</v>
      </c>
      <c r="E6" s="8" t="n">
        <v>1</v>
      </c>
      <c r="F6" s="8" t="n">
        <v>1</v>
      </c>
      <c r="G6" s="4" t="s">
        <v>41</v>
      </c>
    </row>
    <row r="7" customFormat="false" ht="15" hidden="false" customHeight="false" outlineLevel="0" collapsed="false">
      <c r="A7" s="4" t="s">
        <v>42</v>
      </c>
      <c r="B7" s="4" t="s">
        <v>43</v>
      </c>
      <c r="C7" s="8" t="n">
        <v>1</v>
      </c>
      <c r="D7" s="8" t="n">
        <v>1</v>
      </c>
      <c r="E7" s="8" t="n">
        <v>1</v>
      </c>
      <c r="F7" s="8" t="n">
        <v>0.5</v>
      </c>
      <c r="G7" s="4" t="s">
        <v>44</v>
      </c>
    </row>
    <row r="8" customFormat="false" ht="15" hidden="false" customHeight="false" outlineLevel="0" collapsed="false">
      <c r="A8" s="4" t="s">
        <v>45</v>
      </c>
      <c r="B8" s="4" t="s">
        <v>46</v>
      </c>
      <c r="C8" s="8" t="n">
        <v>1</v>
      </c>
      <c r="D8" s="8" t="n">
        <v>1</v>
      </c>
      <c r="E8" s="8" t="n">
        <v>1</v>
      </c>
      <c r="F8" s="8" t="n">
        <v>1</v>
      </c>
      <c r="G8" s="4" t="s">
        <v>47</v>
      </c>
    </row>
    <row r="9" customFormat="false" ht="15" hidden="false" customHeight="false" outlineLevel="0" collapsed="false">
      <c r="A9" s="4" t="s">
        <v>48</v>
      </c>
      <c r="B9" s="4" t="s">
        <v>49</v>
      </c>
      <c r="C9" s="8" t="n">
        <v>1</v>
      </c>
      <c r="D9" s="8" t="n">
        <v>1</v>
      </c>
      <c r="E9" s="8" t="n">
        <v>1</v>
      </c>
      <c r="F9" s="8" t="n">
        <v>1</v>
      </c>
      <c r="G9" s="4" t="s">
        <v>50</v>
      </c>
    </row>
    <row r="10" customFormat="false" ht="15" hidden="false" customHeight="false" outlineLevel="0" collapsed="false">
      <c r="A10" s="4" t="s">
        <v>51</v>
      </c>
      <c r="B10" s="4" t="s">
        <v>52</v>
      </c>
      <c r="C10" s="8" t="n">
        <v>1</v>
      </c>
      <c r="D10" s="8" t="n">
        <v>1</v>
      </c>
      <c r="E10" s="8" t="n">
        <v>1</v>
      </c>
      <c r="F10" s="8" t="n">
        <v>1</v>
      </c>
      <c r="G10" s="4" t="s">
        <v>53</v>
      </c>
    </row>
    <row r="12" customFormat="false" ht="15" hidden="false" customHeight="false" outlineLevel="0" collapsed="false">
      <c r="B12" s="7" t="s">
        <v>54</v>
      </c>
      <c r="C12" s="9" t="n">
        <f aca="false">SUM(C5:C10)/6</f>
        <v>1</v>
      </c>
      <c r="D12" s="9" t="n">
        <f aca="false">SUM(D5:D10)/6</f>
        <v>1</v>
      </c>
      <c r="E12" s="9" t="n">
        <f aca="false">SUM(E5:E10)/6</f>
        <v>1</v>
      </c>
      <c r="F12" s="9" t="n">
        <f aca="false">SUM(F5:F10)/6</f>
        <v>0.916666666666667</v>
      </c>
    </row>
    <row r="14" customFormat="false" ht="15" hidden="false" customHeight="false" outlineLevel="0" collapsed="false">
      <c r="A14" s="2" t="s">
        <v>55</v>
      </c>
    </row>
    <row r="15" customFormat="false" ht="15" hidden="false" customHeight="false" outlineLevel="0" collapsed="false">
      <c r="A15" s="2" t="s">
        <v>56</v>
      </c>
    </row>
    <row r="17" customFormat="false" ht="15" hidden="false" customHeight="false" outlineLevel="0" collapsed="false">
      <c r="A17" s="2" t="s">
        <v>57</v>
      </c>
    </row>
  </sheetData>
  <printOptions headings="false" gridLines="false" gridLinesSet="true" horizontalCentered="false" verticalCentered="false"/>
  <pageMargins left="0.75" right="0.75" top="1" bottom="1"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5" activeCellId="0" sqref="F5"/>
    </sheetView>
  </sheetViews>
  <sheetFormatPr defaultColWidth="8.6875" defaultRowHeight="15" zeroHeight="false" outlineLevelRow="0" outlineLevelCol="0"/>
  <cols>
    <col collapsed="false" customWidth="true" hidden="false" outlineLevel="0" max="1" min="1" style="0" width="10.99"/>
    <col collapsed="false" customWidth="true" hidden="false" outlineLevel="0" max="2" min="2" style="0" width="40"/>
    <col collapsed="false" customWidth="true" hidden="false" outlineLevel="0" max="3" min="3" style="0" width="6.01"/>
    <col collapsed="false" customWidth="true" hidden="false" outlineLevel="0" max="4" min="4" style="0" width="52"/>
    <col collapsed="false" customWidth="true" hidden="false" outlineLevel="0" max="5" min="5" style="0" width="2.99"/>
    <col collapsed="false" customWidth="true" hidden="false" outlineLevel="0" max="6" min="6" style="0" width="10.99"/>
    <col collapsed="false" customWidth="true" hidden="false" outlineLevel="0" max="7" min="7" style="0" width="34"/>
    <col collapsed="false" customWidth="true" hidden="false" outlineLevel="0" max="8" min="8" style="0" width="6.01"/>
    <col collapsed="false" customWidth="true" hidden="false" outlineLevel="0" max="9" min="9" style="0" width="45.99"/>
  </cols>
  <sheetData>
    <row r="1" customFormat="false" ht="15" hidden="false" customHeight="false" outlineLevel="0" collapsed="false">
      <c r="A1" s="7" t="s">
        <v>58</v>
      </c>
    </row>
    <row r="2" customFormat="false" ht="15" hidden="false" customHeight="false" outlineLevel="0" collapsed="false">
      <c r="A2" s="2" t="s">
        <v>59</v>
      </c>
    </row>
    <row r="4" customFormat="false" ht="15" hidden="false" customHeight="false" outlineLevel="0" collapsed="false">
      <c r="A4" s="3" t="s">
        <v>60</v>
      </c>
      <c r="B4" s="3" t="s">
        <v>61</v>
      </c>
      <c r="C4" s="3" t="s">
        <v>62</v>
      </c>
      <c r="D4" s="3" t="s">
        <v>63</v>
      </c>
      <c r="E4" s="3"/>
      <c r="F4" s="3" t="s">
        <v>64</v>
      </c>
      <c r="G4" s="3" t="s">
        <v>61</v>
      </c>
      <c r="H4" s="3" t="s">
        <v>62</v>
      </c>
      <c r="I4" s="3" t="s">
        <v>63</v>
      </c>
    </row>
    <row r="5" customFormat="false" ht="15" hidden="false" customHeight="false" outlineLevel="0" collapsed="false">
      <c r="A5" s="4" t="s">
        <v>65</v>
      </c>
      <c r="B5" s="4" t="s">
        <v>66</v>
      </c>
      <c r="C5" s="10"/>
      <c r="D5" s="4" t="s">
        <v>67</v>
      </c>
      <c r="F5" s="4" t="s">
        <v>65</v>
      </c>
      <c r="G5" s="4" t="s">
        <v>68</v>
      </c>
      <c r="H5" s="10"/>
      <c r="I5" s="4" t="s">
        <v>69</v>
      </c>
    </row>
    <row r="6" customFormat="false" ht="15" hidden="false" customHeight="false" outlineLevel="0" collapsed="false">
      <c r="A6" s="4" t="s">
        <v>70</v>
      </c>
      <c r="B6" s="4" t="s">
        <v>71</v>
      </c>
      <c r="C6" s="10" t="n">
        <v>1</v>
      </c>
      <c r="D6" s="4" t="s">
        <v>72</v>
      </c>
      <c r="F6" s="4" t="s">
        <v>70</v>
      </c>
      <c r="G6" s="4" t="s">
        <v>73</v>
      </c>
      <c r="H6" s="10" t="n">
        <v>1</v>
      </c>
      <c r="I6" s="4" t="s">
        <v>39</v>
      </c>
    </row>
    <row r="7" customFormat="false" ht="15" hidden="false" customHeight="false" outlineLevel="0" collapsed="false">
      <c r="A7" s="4" t="s">
        <v>74</v>
      </c>
      <c r="B7" s="4" t="s">
        <v>75</v>
      </c>
      <c r="C7" s="10" t="n">
        <v>1</v>
      </c>
      <c r="D7" s="4" t="s">
        <v>36</v>
      </c>
      <c r="F7" s="4" t="s">
        <v>74</v>
      </c>
      <c r="G7" s="4" t="s">
        <v>76</v>
      </c>
      <c r="H7" s="10" t="n">
        <v>1</v>
      </c>
      <c r="I7" s="4" t="s">
        <v>36</v>
      </c>
    </row>
    <row r="8" customFormat="false" ht="15" hidden="false" customHeight="false" outlineLevel="0" collapsed="false">
      <c r="A8" s="4" t="s">
        <v>77</v>
      </c>
      <c r="B8" s="4" t="s">
        <v>78</v>
      </c>
      <c r="C8" s="10" t="n">
        <v>1</v>
      </c>
      <c r="D8" s="4" t="s">
        <v>79</v>
      </c>
      <c r="F8" s="4" t="s">
        <v>80</v>
      </c>
      <c r="G8" s="4" t="s">
        <v>81</v>
      </c>
      <c r="H8" s="10" t="n">
        <v>1</v>
      </c>
      <c r="I8" s="11" t="n">
        <f aca="false">SUM(H6:H10)/COUNT(H6:H10)</f>
        <v>1</v>
      </c>
    </row>
    <row r="9" customFormat="false" ht="15" hidden="false" customHeight="false" outlineLevel="0" collapsed="false">
      <c r="A9" s="4" t="s">
        <v>80</v>
      </c>
      <c r="B9" s="4" t="s">
        <v>82</v>
      </c>
      <c r="C9" s="10" t="n">
        <v>1</v>
      </c>
      <c r="D9" s="4" t="s">
        <v>83</v>
      </c>
      <c r="F9" s="4" t="s">
        <v>84</v>
      </c>
      <c r="G9" s="4" t="s">
        <v>85</v>
      </c>
      <c r="H9" s="10" t="n">
        <v>1</v>
      </c>
      <c r="I9" s="4" t="s">
        <v>45</v>
      </c>
    </row>
    <row r="10" customFormat="false" ht="15" hidden="false" customHeight="false" outlineLevel="0" collapsed="false">
      <c r="A10" s="4" t="s">
        <v>86</v>
      </c>
      <c r="B10" s="4" t="s">
        <v>87</v>
      </c>
      <c r="C10" s="10" t="n">
        <v>1</v>
      </c>
      <c r="D10" s="4" t="s">
        <v>42</v>
      </c>
      <c r="F10" s="4" t="s">
        <v>88</v>
      </c>
      <c r="G10" s="4" t="s">
        <v>89</v>
      </c>
      <c r="H10" s="10" t="n">
        <v>1</v>
      </c>
      <c r="I10" s="4" t="s">
        <v>90</v>
      </c>
    </row>
    <row r="11" customFormat="false" ht="15" hidden="false" customHeight="false" outlineLevel="0" collapsed="false">
      <c r="A11" s="4" t="s">
        <v>91</v>
      </c>
      <c r="B11" s="4" t="s">
        <v>92</v>
      </c>
      <c r="C11" s="10" t="n">
        <v>1</v>
      </c>
      <c r="D11" s="4" t="s">
        <v>42</v>
      </c>
    </row>
    <row r="12" customFormat="false" ht="15" hidden="false" customHeight="false" outlineLevel="0" collapsed="false">
      <c r="A12" s="4" t="s">
        <v>84</v>
      </c>
      <c r="B12" s="4" t="s">
        <v>93</v>
      </c>
      <c r="C12" s="10" t="n">
        <v>1</v>
      </c>
      <c r="D12" s="4" t="s">
        <v>94</v>
      </c>
    </row>
    <row r="13" customFormat="false" ht="15" hidden="false" customHeight="false" outlineLevel="0" collapsed="false">
      <c r="A13" s="4" t="s">
        <v>95</v>
      </c>
      <c r="B13" s="4" t="s">
        <v>96</v>
      </c>
      <c r="C13" s="10" t="n">
        <v>1</v>
      </c>
      <c r="D13" s="4" t="s">
        <v>97</v>
      </c>
    </row>
    <row r="14" customFormat="false" ht="15" hidden="false" customHeight="false" outlineLevel="0" collapsed="false">
      <c r="A14" s="4" t="s">
        <v>98</v>
      </c>
      <c r="B14" s="4" t="s">
        <v>99</v>
      </c>
      <c r="C14" s="10" t="n">
        <v>0</v>
      </c>
      <c r="D14" s="4" t="s">
        <v>100</v>
      </c>
    </row>
    <row r="15" customFormat="false" ht="15" hidden="false" customHeight="false" outlineLevel="0" collapsed="false">
      <c r="A15" s="4" t="s">
        <v>88</v>
      </c>
      <c r="B15" s="4" t="s">
        <v>101</v>
      </c>
      <c r="C15" s="10" t="n">
        <v>1</v>
      </c>
      <c r="D15" s="4" t="s">
        <v>45</v>
      </c>
    </row>
    <row r="16" customFormat="false" ht="15" hidden="false" customHeight="false" outlineLevel="0" collapsed="false">
      <c r="A16" s="4" t="s">
        <v>102</v>
      </c>
      <c r="B16" s="4" t="s">
        <v>103</v>
      </c>
      <c r="C16" s="10" t="n">
        <v>1</v>
      </c>
      <c r="D16" s="4" t="s">
        <v>104</v>
      </c>
    </row>
    <row r="17" customFormat="false" ht="15" hidden="false" customHeight="false" outlineLevel="0" collapsed="false">
      <c r="A17" s="4" t="s">
        <v>105</v>
      </c>
      <c r="B17" s="4" t="s">
        <v>106</v>
      </c>
      <c r="C17" s="10" t="n">
        <v>0</v>
      </c>
      <c r="D17" s="4" t="s">
        <v>107</v>
      </c>
    </row>
    <row r="18" customFormat="false" ht="15" hidden="false" customHeight="false" outlineLevel="0" collapsed="false">
      <c r="A18" s="4" t="s">
        <v>108</v>
      </c>
      <c r="B18" s="4" t="s">
        <v>109</v>
      </c>
      <c r="C18" s="10" t="n">
        <v>1</v>
      </c>
      <c r="D18" s="4" t="s">
        <v>110</v>
      </c>
    </row>
    <row r="19" customFormat="false" ht="15" hidden="false" customHeight="false" outlineLevel="0" collapsed="false">
      <c r="A19" s="4" t="s">
        <v>111</v>
      </c>
      <c r="B19" s="4" t="s">
        <v>112</v>
      </c>
      <c r="C19" s="10" t="n">
        <v>0</v>
      </c>
      <c r="D19" s="4" t="s">
        <v>113</v>
      </c>
    </row>
    <row r="20" customFormat="false" ht="15" hidden="false" customHeight="false" outlineLevel="0" collapsed="false">
      <c r="A20" s="4" t="s">
        <v>114</v>
      </c>
      <c r="B20" s="4" t="s">
        <v>115</v>
      </c>
      <c r="C20" s="10" t="n">
        <v>0</v>
      </c>
      <c r="D20" s="4" t="s">
        <v>116</v>
      </c>
    </row>
    <row r="21" customFormat="false" ht="15" hidden="false" customHeight="false" outlineLevel="0" collapsed="false">
      <c r="A21" s="4" t="s">
        <v>117</v>
      </c>
      <c r="B21" s="4" t="s">
        <v>118</v>
      </c>
      <c r="C21" s="10" t="n">
        <v>0</v>
      </c>
      <c r="D21" s="4" t="s">
        <v>119</v>
      </c>
    </row>
    <row r="22" customFormat="false" ht="15" hidden="false" customHeight="false" outlineLevel="0" collapsed="false">
      <c r="B22" s="7" t="s">
        <v>120</v>
      </c>
      <c r="F22" s="9" t="n">
        <f aca="false">SUM(C6:C21)/COUNT(C6:C21)</f>
        <v>0.6875</v>
      </c>
      <c r="I22" s="9" t="n">
        <f aca="false">I8</f>
        <v>1</v>
      </c>
    </row>
    <row r="24" customFormat="false" ht="15" hidden="false" customHeight="false" outlineLevel="0" collapsed="false">
      <c r="A24" s="2" t="s">
        <v>121</v>
      </c>
    </row>
    <row r="25" customFormat="false" ht="15" hidden="false" customHeight="false" outlineLevel="0" collapsed="false">
      <c r="A25" s="2" t="s">
        <v>122</v>
      </c>
    </row>
  </sheetData>
  <printOptions headings="false" gridLines="false" gridLinesSet="true" horizontalCentered="false" verticalCentered="false"/>
  <pageMargins left="0.75" right="0.75" top="1" bottom="1"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I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I5" activeCellId="0" sqref="I5"/>
    </sheetView>
  </sheetViews>
  <sheetFormatPr defaultColWidth="8.6875" defaultRowHeight="15" zeroHeight="false" outlineLevelRow="0" outlineLevelCol="0"/>
  <cols>
    <col collapsed="false" customWidth="true" hidden="false" outlineLevel="0" max="1" min="1" style="0" width="13.01"/>
    <col collapsed="false" customWidth="true" hidden="false" outlineLevel="0" max="2" min="2" style="0" width="37.99"/>
    <col collapsed="false" customWidth="true" hidden="false" outlineLevel="0" max="3" min="3" style="0" width="6.01"/>
    <col collapsed="false" customWidth="true" hidden="false" outlineLevel="0" max="4" min="4" style="0" width="52"/>
    <col collapsed="false" customWidth="true" hidden="false" outlineLevel="0" max="5" min="5" style="0" width="2.99"/>
    <col collapsed="false" customWidth="true" hidden="false" outlineLevel="0" max="6" min="6" style="0" width="13.01"/>
    <col collapsed="false" customWidth="true" hidden="false" outlineLevel="0" max="7" min="7" style="0" width="34"/>
    <col collapsed="false" customWidth="true" hidden="false" outlineLevel="0" max="8" min="8" style="0" width="6.01"/>
    <col collapsed="false" customWidth="true" hidden="false" outlineLevel="0" max="9" min="9" style="0" width="45.99"/>
  </cols>
  <sheetData>
    <row r="1" customFormat="false" ht="15" hidden="false" customHeight="false" outlineLevel="0" collapsed="false">
      <c r="A1" s="7" t="s">
        <v>123</v>
      </c>
    </row>
    <row r="2" customFormat="false" ht="15" hidden="false" customHeight="false" outlineLevel="0" collapsed="false">
      <c r="A2" s="2" t="s">
        <v>124</v>
      </c>
    </row>
    <row r="4" customFormat="false" ht="15" hidden="false" customHeight="false" outlineLevel="0" collapsed="false">
      <c r="A4" s="3" t="s">
        <v>125</v>
      </c>
      <c r="B4" s="3" t="s">
        <v>126</v>
      </c>
      <c r="C4" s="3" t="s">
        <v>62</v>
      </c>
      <c r="D4" s="3" t="s">
        <v>63</v>
      </c>
      <c r="E4" s="3"/>
      <c r="F4" s="3" t="s">
        <v>127</v>
      </c>
      <c r="G4" s="3" t="s">
        <v>126</v>
      </c>
      <c r="H4" s="3" t="s">
        <v>62</v>
      </c>
      <c r="I4" s="3" t="s">
        <v>63</v>
      </c>
    </row>
    <row r="5" customFormat="false" ht="15" hidden="false" customHeight="false" outlineLevel="0" collapsed="false">
      <c r="A5" s="4" t="s">
        <v>128</v>
      </c>
      <c r="B5" s="4" t="s">
        <v>129</v>
      </c>
      <c r="C5" s="10" t="n">
        <v>1</v>
      </c>
      <c r="D5" s="4" t="s">
        <v>36</v>
      </c>
      <c r="F5" s="4" t="s">
        <v>130</v>
      </c>
      <c r="G5" s="4" t="s">
        <v>131</v>
      </c>
      <c r="H5" s="10" t="n">
        <v>1</v>
      </c>
      <c r="I5" s="4" t="s">
        <v>132</v>
      </c>
    </row>
    <row r="6" customFormat="false" ht="15" hidden="false" customHeight="false" outlineLevel="0" collapsed="false">
      <c r="A6" s="4" t="s">
        <v>133</v>
      </c>
      <c r="B6" s="4" t="s">
        <v>134</v>
      </c>
      <c r="C6" s="10" t="n">
        <v>1</v>
      </c>
      <c r="D6" s="4" t="s">
        <v>36</v>
      </c>
      <c r="F6" s="4" t="s">
        <v>135</v>
      </c>
      <c r="G6" s="4" t="s">
        <v>136</v>
      </c>
      <c r="H6" s="10" t="n">
        <v>1</v>
      </c>
      <c r="I6" s="4" t="s">
        <v>137</v>
      </c>
    </row>
    <row r="7" customFormat="false" ht="15" hidden="false" customHeight="false" outlineLevel="0" collapsed="false">
      <c r="A7" s="4" t="s">
        <v>77</v>
      </c>
      <c r="B7" s="4" t="s">
        <v>138</v>
      </c>
      <c r="C7" s="10" t="n">
        <v>1</v>
      </c>
      <c r="D7" s="4" t="s">
        <v>39</v>
      </c>
      <c r="F7" s="4" t="s">
        <v>139</v>
      </c>
      <c r="G7" s="4" t="s">
        <v>140</v>
      </c>
      <c r="H7" s="10" t="n">
        <v>1</v>
      </c>
      <c r="I7" s="4" t="s">
        <v>141</v>
      </c>
    </row>
    <row r="8" customFormat="false" ht="15" hidden="false" customHeight="false" outlineLevel="0" collapsed="false">
      <c r="A8" s="4" t="s">
        <v>142</v>
      </c>
      <c r="B8" s="4" t="s">
        <v>143</v>
      </c>
      <c r="C8" s="10" t="n">
        <v>1</v>
      </c>
      <c r="D8" s="4" t="s">
        <v>39</v>
      </c>
      <c r="F8" s="4" t="s">
        <v>144</v>
      </c>
      <c r="G8" s="4" t="s">
        <v>145</v>
      </c>
      <c r="H8" s="10" t="n">
        <v>1</v>
      </c>
      <c r="I8" s="4" t="s">
        <v>146</v>
      </c>
    </row>
    <row r="9" customFormat="false" ht="15" hidden="false" customHeight="false" outlineLevel="0" collapsed="false">
      <c r="A9" s="4" t="s">
        <v>147</v>
      </c>
      <c r="B9" s="4" t="s">
        <v>148</v>
      </c>
      <c r="C9" s="10" t="n">
        <v>1</v>
      </c>
      <c r="D9" s="4" t="s">
        <v>83</v>
      </c>
    </row>
    <row r="10" customFormat="false" ht="15" hidden="false" customHeight="false" outlineLevel="0" collapsed="false">
      <c r="A10" s="4" t="s">
        <v>86</v>
      </c>
      <c r="B10" s="4" t="s">
        <v>149</v>
      </c>
      <c r="C10" s="10" t="n">
        <v>1</v>
      </c>
      <c r="D10" s="4" t="s">
        <v>150</v>
      </c>
    </row>
    <row r="11" customFormat="false" ht="15" hidden="false" customHeight="false" outlineLevel="0" collapsed="false">
      <c r="A11" s="4" t="s">
        <v>91</v>
      </c>
      <c r="B11" s="4" t="s">
        <v>151</v>
      </c>
      <c r="C11" s="10" t="n">
        <v>1</v>
      </c>
      <c r="D11" s="4" t="s">
        <v>42</v>
      </c>
    </row>
    <row r="12" customFormat="false" ht="15" hidden="false" customHeight="false" outlineLevel="0" collapsed="false">
      <c r="A12" s="4" t="s">
        <v>152</v>
      </c>
      <c r="B12" s="4" t="s">
        <v>153</v>
      </c>
      <c r="C12" s="10" t="n">
        <v>1</v>
      </c>
      <c r="D12" s="4" t="s">
        <v>42</v>
      </c>
    </row>
    <row r="13" customFormat="false" ht="15" hidden="false" customHeight="false" outlineLevel="0" collapsed="false">
      <c r="A13" s="4" t="s">
        <v>95</v>
      </c>
      <c r="B13" s="4" t="s">
        <v>154</v>
      </c>
      <c r="C13" s="10" t="n">
        <v>1</v>
      </c>
      <c r="D13" s="4" t="s">
        <v>155</v>
      </c>
    </row>
    <row r="14" customFormat="false" ht="15" hidden="false" customHeight="false" outlineLevel="0" collapsed="false">
      <c r="A14" s="4" t="s">
        <v>98</v>
      </c>
      <c r="B14" s="4" t="s">
        <v>156</v>
      </c>
      <c r="C14" s="10" t="n">
        <v>1</v>
      </c>
      <c r="D14" s="4" t="s">
        <v>157</v>
      </c>
    </row>
    <row r="15" customFormat="false" ht="15" hidden="false" customHeight="false" outlineLevel="0" collapsed="false">
      <c r="A15" s="4" t="s">
        <v>158</v>
      </c>
      <c r="B15" s="4" t="s">
        <v>159</v>
      </c>
      <c r="C15" s="10" t="n">
        <v>1</v>
      </c>
      <c r="D15" s="4" t="s">
        <v>45</v>
      </c>
    </row>
    <row r="16" customFormat="false" ht="15" hidden="false" customHeight="false" outlineLevel="0" collapsed="false">
      <c r="A16" s="4" t="s">
        <v>160</v>
      </c>
      <c r="B16" s="4" t="s">
        <v>161</v>
      </c>
      <c r="C16" s="10" t="n">
        <v>0</v>
      </c>
      <c r="D16" s="4" t="s">
        <v>162</v>
      </c>
    </row>
    <row r="17" customFormat="false" ht="15" hidden="false" customHeight="false" outlineLevel="0" collapsed="false">
      <c r="A17" s="4" t="s">
        <v>102</v>
      </c>
      <c r="B17" s="4" t="s">
        <v>163</v>
      </c>
      <c r="C17" s="10" t="n">
        <v>0</v>
      </c>
      <c r="D17" s="4" t="s">
        <v>164</v>
      </c>
    </row>
    <row r="18" customFormat="false" ht="15" hidden="false" customHeight="false" outlineLevel="0" collapsed="false">
      <c r="A18" s="4" t="s">
        <v>165</v>
      </c>
      <c r="B18" s="4" t="s">
        <v>166</v>
      </c>
      <c r="C18" s="10" t="n">
        <v>1</v>
      </c>
      <c r="D18" s="4" t="s">
        <v>51</v>
      </c>
    </row>
    <row r="19" customFormat="false" ht="15" hidden="false" customHeight="false" outlineLevel="0" collapsed="false">
      <c r="A19" s="4" t="s">
        <v>167</v>
      </c>
      <c r="B19" s="4" t="s">
        <v>168</v>
      </c>
      <c r="C19" s="10" t="n">
        <v>0</v>
      </c>
      <c r="D19" s="4" t="s">
        <v>169</v>
      </c>
    </row>
    <row r="20" customFormat="false" ht="15" hidden="false" customHeight="false" outlineLevel="0" collapsed="false">
      <c r="A20" s="4" t="s">
        <v>108</v>
      </c>
      <c r="B20" s="4" t="s">
        <v>170</v>
      </c>
      <c r="C20" s="10" t="n">
        <v>0</v>
      </c>
      <c r="D20" s="4" t="s">
        <v>171</v>
      </c>
    </row>
    <row r="21" customFormat="false" ht="15" hidden="false" customHeight="false" outlineLevel="0" collapsed="false">
      <c r="A21" s="4" t="s">
        <v>172</v>
      </c>
      <c r="B21" s="4" t="s">
        <v>173</v>
      </c>
      <c r="C21" s="10" t="n">
        <v>0</v>
      </c>
      <c r="D21" s="4" t="s">
        <v>171</v>
      </c>
    </row>
    <row r="22" customFormat="false" ht="15" hidden="false" customHeight="false" outlineLevel="0" collapsed="false">
      <c r="A22" s="4" t="s">
        <v>174</v>
      </c>
      <c r="B22" s="12" t="s">
        <v>120</v>
      </c>
      <c r="C22" s="10" t="n">
        <v>0</v>
      </c>
      <c r="D22" s="4" t="s">
        <v>175</v>
      </c>
      <c r="F22" s="9" t="n">
        <f aca="false">SUM(C5:C22)/COUNT(C5:C22)</f>
        <v>0.666666666666667</v>
      </c>
      <c r="I22" s="9" t="n">
        <f aca="false">SUM(H5:H8)/COUNT(H5:H8)</f>
        <v>1</v>
      </c>
    </row>
    <row r="24" customFormat="false" ht="15" hidden="false" customHeight="false" outlineLevel="0" collapsed="false">
      <c r="A24" s="2" t="s">
        <v>176</v>
      </c>
    </row>
  </sheetData>
  <printOptions headings="false" gridLines="false" gridLinesSet="true" horizontalCentered="false" verticalCentered="false"/>
  <pageMargins left="0.75" right="0.75" top="1" bottom="1"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cols>
    <col collapsed="false" customWidth="true" hidden="false" outlineLevel="0" max="1" min="1" style="0" width="30.01"/>
    <col collapsed="false" customWidth="true" hidden="false" outlineLevel="0" max="2" min="2" style="0" width="14.01"/>
    <col collapsed="false" customWidth="true" hidden="false" outlineLevel="0" max="3" min="3" style="0" width="15"/>
    <col collapsed="false" customWidth="true" hidden="false" outlineLevel="0" max="6" min="4" style="0" width="8"/>
    <col collapsed="false" customWidth="true" hidden="false" outlineLevel="0" max="7" min="7" style="0" width="78"/>
  </cols>
  <sheetData>
    <row r="1" customFormat="false" ht="15" hidden="false" customHeight="false" outlineLevel="0" collapsed="false">
      <c r="A1" s="7" t="s">
        <v>177</v>
      </c>
    </row>
    <row r="2" customFormat="false" ht="15" hidden="false" customHeight="false" outlineLevel="0" collapsed="false">
      <c r="A2" s="2" t="s">
        <v>178</v>
      </c>
    </row>
    <row r="4" customFormat="false" ht="15" hidden="false" customHeight="false" outlineLevel="0" collapsed="false">
      <c r="A4" s="3" t="s">
        <v>179</v>
      </c>
      <c r="B4" s="3" t="s">
        <v>180</v>
      </c>
      <c r="C4" s="3" t="s">
        <v>181</v>
      </c>
      <c r="D4" s="3" t="s">
        <v>182</v>
      </c>
      <c r="E4" s="3" t="s">
        <v>183</v>
      </c>
      <c r="F4" s="3" t="s">
        <v>184</v>
      </c>
      <c r="G4" s="3" t="s">
        <v>185</v>
      </c>
    </row>
    <row r="5" customFormat="false" ht="15" hidden="false" customHeight="false" outlineLevel="0" collapsed="false">
      <c r="A5" s="4" t="s">
        <v>186</v>
      </c>
      <c r="B5" s="4" t="s">
        <v>187</v>
      </c>
      <c r="C5" s="4" t="s">
        <v>188</v>
      </c>
      <c r="D5" s="6" t="n">
        <v>1</v>
      </c>
      <c r="E5" s="6" t="n">
        <v>1</v>
      </c>
      <c r="F5" s="6" t="n">
        <v>1</v>
      </c>
      <c r="G5" s="4" t="s">
        <v>189</v>
      </c>
    </row>
    <row r="6" customFormat="false" ht="15" hidden="false" customHeight="false" outlineLevel="0" collapsed="false">
      <c r="A6" s="4" t="s">
        <v>190</v>
      </c>
      <c r="B6" s="4" t="s">
        <v>187</v>
      </c>
      <c r="C6" s="4" t="s">
        <v>191</v>
      </c>
      <c r="D6" s="6" t="n">
        <v>1</v>
      </c>
      <c r="E6" s="6" t="n">
        <v>1</v>
      </c>
      <c r="F6" s="6" t="n">
        <v>1</v>
      </c>
      <c r="G6" s="4" t="s">
        <v>192</v>
      </c>
    </row>
    <row r="7" customFormat="false" ht="15" hidden="false" customHeight="false" outlineLevel="0" collapsed="false">
      <c r="A7" s="4" t="s">
        <v>193</v>
      </c>
      <c r="B7" s="4" t="s">
        <v>187</v>
      </c>
      <c r="C7" s="4" t="s">
        <v>194</v>
      </c>
      <c r="D7" s="5" t="n">
        <v>0</v>
      </c>
      <c r="E7" s="5" t="n">
        <v>0</v>
      </c>
      <c r="F7" s="5" t="n">
        <v>0</v>
      </c>
      <c r="G7" s="4" t="s">
        <v>195</v>
      </c>
    </row>
    <row r="8" customFormat="false" ht="15" hidden="false" customHeight="false" outlineLevel="0" collapsed="false">
      <c r="A8" s="4" t="s">
        <v>196</v>
      </c>
      <c r="B8" s="4" t="s">
        <v>187</v>
      </c>
      <c r="C8" s="4" t="s">
        <v>197</v>
      </c>
      <c r="D8" s="6" t="n">
        <v>0</v>
      </c>
      <c r="E8" s="6" t="n">
        <v>0</v>
      </c>
      <c r="F8" s="6" t="n">
        <v>0</v>
      </c>
      <c r="G8" s="4" t="s">
        <v>198</v>
      </c>
    </row>
    <row r="9" customFormat="false" ht="15" hidden="false" customHeight="false" outlineLevel="0" collapsed="false">
      <c r="A9" s="4" t="s">
        <v>199</v>
      </c>
      <c r="B9" s="4" t="s">
        <v>200</v>
      </c>
      <c r="C9" s="4" t="s">
        <v>201</v>
      </c>
      <c r="D9" s="6" t="n">
        <v>0</v>
      </c>
      <c r="E9" s="6" t="n">
        <v>0</v>
      </c>
      <c r="F9" s="6" t="n">
        <v>0</v>
      </c>
      <c r="G9" s="4" t="s">
        <v>202</v>
      </c>
    </row>
    <row r="10" customFormat="false" ht="15" hidden="false" customHeight="false" outlineLevel="0" collapsed="false">
      <c r="A10" s="4" t="s">
        <v>203</v>
      </c>
      <c r="B10" s="4" t="s">
        <v>200</v>
      </c>
      <c r="C10" s="4" t="s">
        <v>204</v>
      </c>
      <c r="D10" s="6" t="n">
        <v>0</v>
      </c>
      <c r="E10" s="6" t="n">
        <v>0</v>
      </c>
      <c r="F10" s="6" t="n">
        <v>0</v>
      </c>
      <c r="G10" s="4" t="s">
        <v>205</v>
      </c>
    </row>
    <row r="12" customFormat="false" ht="15" hidden="false" customHeight="false" outlineLevel="0" collapsed="false">
      <c r="A12" s="2" t="s">
        <v>206</v>
      </c>
    </row>
  </sheetData>
  <printOptions headings="false" gridLines="false" gridLinesSet="true" horizontalCentered="false" verticalCentered="false"/>
  <pageMargins left="0.75" right="0.75" top="1" bottom="1"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cols>
    <col collapsed="false" customWidth="true" hidden="false" outlineLevel="0" max="5" min="1" style="0" width="14.01"/>
    <col collapsed="false" customWidth="true" hidden="false" outlineLevel="0" max="6" min="6" style="0" width="86"/>
  </cols>
  <sheetData>
    <row r="1" customFormat="false" ht="15" hidden="false" customHeight="false" outlineLevel="0" collapsed="false">
      <c r="A1" s="7" t="s">
        <v>207</v>
      </c>
    </row>
    <row r="2" customFormat="false" ht="15" hidden="false" customHeight="false" outlineLevel="0" collapsed="false">
      <c r="A2" s="2" t="s">
        <v>208</v>
      </c>
    </row>
    <row r="4" customFormat="false" ht="15" hidden="false" customHeight="false" outlineLevel="0" collapsed="false">
      <c r="A4" s="3" t="s">
        <v>209</v>
      </c>
      <c r="B4" s="3" t="s">
        <v>31</v>
      </c>
      <c r="C4" s="3" t="s">
        <v>32</v>
      </c>
      <c r="D4" s="3" t="s">
        <v>33</v>
      </c>
      <c r="E4" s="3" t="s">
        <v>34</v>
      </c>
      <c r="F4" s="3" t="s">
        <v>35</v>
      </c>
    </row>
    <row r="5" customFormat="false" ht="15" hidden="false" customHeight="false" outlineLevel="0" collapsed="false">
      <c r="A5" s="4" t="s">
        <v>210</v>
      </c>
      <c r="B5" s="8" t="n">
        <v>0.5</v>
      </c>
      <c r="C5" s="8" t="n">
        <v>1</v>
      </c>
      <c r="D5" s="8" t="n">
        <v>0.5</v>
      </c>
      <c r="E5" s="8" t="n">
        <v>1</v>
      </c>
      <c r="F5" s="4" t="s">
        <v>211</v>
      </c>
    </row>
    <row r="6" customFormat="false" ht="15" hidden="false" customHeight="false" outlineLevel="0" collapsed="false">
      <c r="A6" s="4" t="s">
        <v>212</v>
      </c>
      <c r="B6" s="8" t="n">
        <v>0.5</v>
      </c>
      <c r="C6" s="8" t="n">
        <v>1</v>
      </c>
      <c r="D6" s="8" t="n">
        <v>0.5</v>
      </c>
      <c r="E6" s="8" t="n">
        <v>1</v>
      </c>
      <c r="F6" s="4" t="s">
        <v>213</v>
      </c>
    </row>
    <row r="7" customFormat="false" ht="15" hidden="false" customHeight="false" outlineLevel="0" collapsed="false">
      <c r="A7" s="4" t="s">
        <v>214</v>
      </c>
      <c r="B7" s="8" t="n">
        <v>0.5</v>
      </c>
      <c r="C7" s="8" t="n">
        <v>1</v>
      </c>
      <c r="D7" s="8" t="n">
        <v>0.5</v>
      </c>
      <c r="E7" s="8" t="n">
        <v>1</v>
      </c>
      <c r="F7" s="4" t="s">
        <v>215</v>
      </c>
    </row>
    <row r="8" customFormat="false" ht="15" hidden="false" customHeight="false" outlineLevel="0" collapsed="false">
      <c r="A8" s="4" t="s">
        <v>216</v>
      </c>
      <c r="B8" s="8" t="n">
        <v>0</v>
      </c>
      <c r="C8" s="8" t="n">
        <v>1</v>
      </c>
      <c r="D8" s="8" t="n">
        <v>0</v>
      </c>
      <c r="E8" s="8" t="n">
        <v>1</v>
      </c>
      <c r="F8" s="4" t="s">
        <v>217</v>
      </c>
    </row>
    <row r="9" customFormat="false" ht="15" hidden="false" customHeight="false" outlineLevel="0" collapsed="false">
      <c r="A9" s="4" t="s">
        <v>218</v>
      </c>
      <c r="B9" s="8" t="n">
        <v>0</v>
      </c>
      <c r="C9" s="8" t="n">
        <v>1</v>
      </c>
      <c r="D9" s="8" t="n">
        <v>0</v>
      </c>
      <c r="E9" s="8" t="n">
        <v>1</v>
      </c>
      <c r="F9" s="4" t="s">
        <v>219</v>
      </c>
    </row>
    <row r="11" customFormat="false" ht="15" hidden="false" customHeight="false" outlineLevel="0" collapsed="false">
      <c r="A11" s="7" t="s">
        <v>220</v>
      </c>
      <c r="B11" s="9" t="n">
        <f aca="false">SUM(B5:B9)/5</f>
        <v>0.3</v>
      </c>
      <c r="C11" s="9" t="n">
        <f aca="false">SUM(C5:C9)/5</f>
        <v>1</v>
      </c>
      <c r="D11" s="9" t="n">
        <f aca="false">SUM(D5:D9)/5</f>
        <v>0.3</v>
      </c>
      <c r="E11" s="9" t="n">
        <f aca="false">SUM(E5:E9)/5</f>
        <v>1</v>
      </c>
    </row>
    <row r="13" customFormat="false" ht="15" hidden="false" customHeight="false" outlineLevel="0" collapsed="false">
      <c r="A13" s="2" t="s">
        <v>221</v>
      </c>
    </row>
  </sheetData>
  <printOptions headings="false" gridLines="false" gridLinesSet="true" horizontalCentered="false" verticalCentered="false"/>
  <pageMargins left="0.75" right="0.75" top="1" bottom="1"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cols>
    <col collapsed="false" customWidth="true" hidden="false" outlineLevel="0" max="1" min="1" style="0" width="26"/>
    <col collapsed="false" customWidth="true" hidden="false" outlineLevel="0" max="3" min="2" style="0" width="16"/>
    <col collapsed="false" customWidth="true" hidden="false" outlineLevel="0" max="4" min="4" style="0" width="87.99"/>
  </cols>
  <sheetData>
    <row r="1" customFormat="false" ht="15" hidden="false" customHeight="false" outlineLevel="0" collapsed="false">
      <c r="A1" s="7" t="s">
        <v>222</v>
      </c>
    </row>
    <row r="2" customFormat="false" ht="15" hidden="false" customHeight="false" outlineLevel="0" collapsed="false">
      <c r="A2" s="2" t="s">
        <v>223</v>
      </c>
    </row>
    <row r="4" customFormat="false" ht="15" hidden="false" customHeight="false" outlineLevel="0" collapsed="false">
      <c r="A4" s="3" t="s">
        <v>224</v>
      </c>
      <c r="B4" s="3" t="s">
        <v>225</v>
      </c>
      <c r="C4" s="3" t="s">
        <v>226</v>
      </c>
      <c r="D4" s="3" t="s">
        <v>227</v>
      </c>
    </row>
    <row r="5" customFormat="false" ht="15" hidden="false" customHeight="false" outlineLevel="0" collapsed="false">
      <c r="A5" s="4" t="s">
        <v>228</v>
      </c>
      <c r="B5" s="4" t="s">
        <v>229</v>
      </c>
      <c r="C5" s="4" t="s">
        <v>230</v>
      </c>
      <c r="D5" s="4" t="s">
        <v>231</v>
      </c>
    </row>
    <row r="6" customFormat="false" ht="15" hidden="false" customHeight="false" outlineLevel="0" collapsed="false">
      <c r="A6" s="4" t="s">
        <v>232</v>
      </c>
      <c r="B6" s="4" t="s">
        <v>233</v>
      </c>
      <c r="C6" s="4" t="s">
        <v>234</v>
      </c>
      <c r="D6" s="4" t="s">
        <v>235</v>
      </c>
    </row>
    <row r="7" customFormat="false" ht="15" hidden="false" customHeight="false" outlineLevel="0" collapsed="false">
      <c r="A7" s="4" t="s">
        <v>236</v>
      </c>
      <c r="B7" s="4" t="s">
        <v>237</v>
      </c>
      <c r="C7" s="4" t="s">
        <v>238</v>
      </c>
      <c r="D7" s="4" t="s">
        <v>239</v>
      </c>
    </row>
    <row r="8" customFormat="false" ht="15" hidden="false" customHeight="false" outlineLevel="0" collapsed="false">
      <c r="A8" s="4" t="s">
        <v>240</v>
      </c>
      <c r="B8" s="4" t="s">
        <v>241</v>
      </c>
      <c r="C8" s="4" t="s">
        <v>242</v>
      </c>
      <c r="D8" s="4"/>
    </row>
    <row r="9" customFormat="false" ht="15" hidden="false" customHeight="false" outlineLevel="0" collapsed="false">
      <c r="A9" s="4" t="s">
        <v>243</v>
      </c>
      <c r="B9" s="4" t="s">
        <v>244</v>
      </c>
      <c r="C9" s="4" t="s">
        <v>245</v>
      </c>
      <c r="D9" s="4"/>
    </row>
    <row r="10" customFormat="false" ht="15" hidden="false" customHeight="false" outlineLevel="0" collapsed="false">
      <c r="A10" s="4" t="s">
        <v>246</v>
      </c>
      <c r="B10" s="4" t="s">
        <v>247</v>
      </c>
      <c r="C10" s="4" t="s">
        <v>248</v>
      </c>
      <c r="D10" s="4" t="s">
        <v>249</v>
      </c>
    </row>
    <row r="11" customFormat="false" ht="15" hidden="false" customHeight="false" outlineLevel="0" collapsed="false">
      <c r="A11" s="4" t="s">
        <v>250</v>
      </c>
      <c r="B11" s="4" t="s">
        <v>251</v>
      </c>
      <c r="C11" s="4" t="s">
        <v>252</v>
      </c>
      <c r="D11" s="4" t="s">
        <v>253</v>
      </c>
    </row>
    <row r="12" customFormat="false" ht="15" hidden="false" customHeight="false" outlineLevel="0" collapsed="false">
      <c r="A12" s="4" t="s">
        <v>254</v>
      </c>
      <c r="B12" s="4" t="s">
        <v>248</v>
      </c>
      <c r="C12" s="4" t="s">
        <v>255</v>
      </c>
      <c r="D12" s="4" t="s">
        <v>256</v>
      </c>
    </row>
    <row r="14" customFormat="false" ht="15" hidden="false" customHeight="false" outlineLevel="0" collapsed="false">
      <c r="A14" s="2" t="s">
        <v>257</v>
      </c>
    </row>
  </sheetData>
  <printOptions headings="false" gridLines="false" gridLinesSet="true" horizontalCentered="false" verticalCentered="false"/>
  <pageMargins left="0.75" right="0.75" top="1" bottom="1"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cols>
    <col collapsed="false" customWidth="true" hidden="false" outlineLevel="0" max="1" min="1" style="0" width="11.99"/>
    <col collapsed="false" customWidth="true" hidden="false" outlineLevel="0" max="3" min="2" style="0" width="34"/>
    <col collapsed="false" customWidth="true" hidden="false" outlineLevel="0" max="4" min="4" style="0" width="32"/>
    <col collapsed="false" customWidth="true" hidden="false" outlineLevel="0" max="6" min="5" style="0" width="45.99"/>
    <col collapsed="false" customWidth="true" hidden="false" outlineLevel="0" max="10" min="7" style="0" width="6.01"/>
    <col collapsed="false" customWidth="true" hidden="false" outlineLevel="0" max="11" min="11" style="0" width="50"/>
  </cols>
  <sheetData>
    <row r="1" customFormat="false" ht="15" hidden="false" customHeight="false" outlineLevel="0" collapsed="false">
      <c r="A1" s="13" t="s">
        <v>258</v>
      </c>
    </row>
    <row r="2" customFormat="false" ht="15" hidden="false" customHeight="false" outlineLevel="0" collapsed="false">
      <c r="A2" s="2" t="s">
        <v>259</v>
      </c>
    </row>
    <row r="4" customFormat="false" ht="15" hidden="false" customHeight="false" outlineLevel="0" collapsed="false">
      <c r="A4" s="3" t="s">
        <v>209</v>
      </c>
      <c r="B4" s="3" t="s">
        <v>260</v>
      </c>
      <c r="C4" s="3" t="s">
        <v>32</v>
      </c>
      <c r="D4" s="3" t="s">
        <v>261</v>
      </c>
      <c r="E4" s="3" t="s">
        <v>262</v>
      </c>
      <c r="F4" s="3" t="s">
        <v>263</v>
      </c>
      <c r="G4" s="3" t="s">
        <v>264</v>
      </c>
      <c r="H4" s="3" t="s">
        <v>265</v>
      </c>
      <c r="I4" s="3" t="s">
        <v>266</v>
      </c>
      <c r="J4" s="3" t="s">
        <v>267</v>
      </c>
      <c r="K4" s="3" t="s">
        <v>268</v>
      </c>
    </row>
    <row r="5" customFormat="false" ht="15" hidden="false" customHeight="false" outlineLevel="0" collapsed="false">
      <c r="A5" s="4" t="s">
        <v>210</v>
      </c>
      <c r="B5" s="4" t="s">
        <v>269</v>
      </c>
      <c r="C5" s="4" t="s">
        <v>270</v>
      </c>
      <c r="D5" s="4" t="s">
        <v>271</v>
      </c>
      <c r="E5" s="4" t="s">
        <v>272</v>
      </c>
      <c r="F5" s="4" t="s">
        <v>273</v>
      </c>
      <c r="G5" s="8" t="n">
        <v>0.5</v>
      </c>
      <c r="H5" s="8" t="n">
        <v>0.5</v>
      </c>
      <c r="I5" s="8" t="n">
        <v>1</v>
      </c>
      <c r="J5" s="8" t="n">
        <v>1</v>
      </c>
      <c r="K5" s="4" t="s">
        <v>274</v>
      </c>
    </row>
    <row r="6" customFormat="false" ht="15" hidden="false" customHeight="false" outlineLevel="0" collapsed="false">
      <c r="A6" s="4" t="s">
        <v>212</v>
      </c>
      <c r="B6" s="4" t="s">
        <v>275</v>
      </c>
      <c r="C6" s="4" t="s">
        <v>276</v>
      </c>
      <c r="D6" s="4" t="s">
        <v>277</v>
      </c>
      <c r="E6" s="4" t="s">
        <v>278</v>
      </c>
      <c r="F6" s="4" t="s">
        <v>279</v>
      </c>
      <c r="G6" s="8" t="n">
        <v>0.5</v>
      </c>
      <c r="H6" s="8" t="n">
        <v>0.5</v>
      </c>
      <c r="I6" s="8" t="n">
        <v>1</v>
      </c>
      <c r="J6" s="8" t="n">
        <v>1</v>
      </c>
      <c r="K6" s="4" t="s">
        <v>280</v>
      </c>
    </row>
    <row r="7" customFormat="false" ht="15" hidden="false" customHeight="false" outlineLevel="0" collapsed="false">
      <c r="A7" s="4" t="s">
        <v>214</v>
      </c>
      <c r="B7" s="4" t="s">
        <v>281</v>
      </c>
      <c r="C7" s="4" t="s">
        <v>282</v>
      </c>
      <c r="D7" s="4" t="s">
        <v>283</v>
      </c>
      <c r="E7" s="4" t="s">
        <v>284</v>
      </c>
      <c r="F7" s="4" t="s">
        <v>285</v>
      </c>
      <c r="G7" s="8" t="n">
        <v>0.5</v>
      </c>
      <c r="H7" s="8" t="n">
        <v>0.5</v>
      </c>
      <c r="I7" s="8" t="n">
        <v>1</v>
      </c>
      <c r="J7" s="8" t="n">
        <v>1</v>
      </c>
      <c r="K7" s="4" t="s">
        <v>286</v>
      </c>
    </row>
    <row r="8" customFormat="false" ht="15" hidden="false" customHeight="false" outlineLevel="0" collapsed="false">
      <c r="A8" s="4" t="s">
        <v>216</v>
      </c>
      <c r="B8" s="4" t="s">
        <v>287</v>
      </c>
      <c r="C8" s="4" t="s">
        <v>288</v>
      </c>
      <c r="D8" s="4" t="s">
        <v>288</v>
      </c>
      <c r="E8" s="4" t="s">
        <v>289</v>
      </c>
      <c r="F8" s="4" t="s">
        <v>290</v>
      </c>
      <c r="G8" s="8" t="n">
        <v>0</v>
      </c>
      <c r="H8" s="8" t="n">
        <v>0</v>
      </c>
      <c r="I8" s="8" t="n">
        <v>1</v>
      </c>
      <c r="J8" s="8" t="n">
        <v>1</v>
      </c>
      <c r="K8" s="4" t="s">
        <v>291</v>
      </c>
    </row>
    <row r="9" customFormat="false" ht="15" hidden="false" customHeight="false" outlineLevel="0" collapsed="false">
      <c r="A9" s="4" t="s">
        <v>218</v>
      </c>
      <c r="B9" s="4" t="s">
        <v>292</v>
      </c>
      <c r="C9" s="4" t="s">
        <v>293</v>
      </c>
      <c r="D9" s="4" t="s">
        <v>294</v>
      </c>
      <c r="E9" s="4" t="s">
        <v>295</v>
      </c>
      <c r="F9" s="4" t="s">
        <v>296</v>
      </c>
      <c r="G9" s="8" t="n">
        <v>0</v>
      </c>
      <c r="H9" s="8" t="n">
        <v>0</v>
      </c>
      <c r="I9" s="8" t="n">
        <v>1</v>
      </c>
      <c r="J9" s="8" t="n">
        <v>1</v>
      </c>
      <c r="K9" s="4" t="s">
        <v>297</v>
      </c>
    </row>
    <row r="11" customFormat="false" ht="15" hidden="false" customHeight="false" outlineLevel="0" collapsed="false">
      <c r="A11" s="7" t="s">
        <v>220</v>
      </c>
      <c r="G11" s="9" t="n">
        <f aca="false">SUM(G5:G9)/5</f>
        <v>0.3</v>
      </c>
      <c r="H11" s="9" t="n">
        <f aca="false">SUM(H5:H9)/5</f>
        <v>0.3</v>
      </c>
      <c r="I11" s="9" t="n">
        <f aca="false">SUM(I5:I9)/5</f>
        <v>1</v>
      </c>
      <c r="J11" s="9" t="n">
        <f aca="false">SUM(J5:J9)/5</f>
        <v>1</v>
      </c>
    </row>
    <row r="13" customFormat="false" ht="15" hidden="false" customHeight="false" outlineLevel="0" collapsed="false">
      <c r="A13" s="2" t="s">
        <v>298</v>
      </c>
    </row>
    <row r="15" customFormat="false" ht="15" hidden="false" customHeight="false" outlineLevel="0" collapsed="false">
      <c r="A15" s="2" t="s">
        <v>299</v>
      </c>
    </row>
  </sheetData>
  <printOptions headings="false" gridLines="false" gridLinesSet="true" horizontalCentered="false" verticalCentered="false"/>
  <pageMargins left="0.75" right="0.75" top="1" bottom="1"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156</TotalTime>
  <Application>LibreOffice/6.4.6.2$Windows_X86_64 LibreOffice_project/0ce51a4fd21bff07a5c061082cc82c5ed232f115</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2026-07-27T05:31:45Z</dcterms:created>
  <dc:creator>openpyxl</dc:creator>
  <dc:description/>
  <dc:language>en-PH</dc:language>
  <cp:lastModifiedBy/>
  <dcterms:modified xsi:type="dcterms:W3CDTF">2026-07-28T14:59:12Z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