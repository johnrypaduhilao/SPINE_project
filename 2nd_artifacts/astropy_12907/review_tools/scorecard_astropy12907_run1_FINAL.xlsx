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9.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10.xml" ContentType="application/vnd.openxmlformats-officedocument.spreadsheetml.worksheet+xml"/>
  <Override PartName="/xl/sharedStrings.xml" ContentType="application/vnd.openxmlformats-officedocument.spreadsheetml.sharedStrings+xml"/>
  <Override PartName="/xl/_rels/workbook.xml.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ummary" sheetId="1" state="visible" r:id="rId2"/>
    <sheet name="Coverage_strict" sheetId="2" state="visible" r:id="rId3"/>
    <sheet name="Precision_struct" sheetId="3" state="visible" r:id="rId4"/>
    <sheet name="Precision_unstr" sheetId="4" state="visible" r:id="rId5"/>
    <sheet name="Recoverability" sheetId="5" state="visible" r:id="rId6"/>
    <sheet name="SIF" sheetId="6" state="visible" r:id="rId7"/>
    <sheet name="Behavior_exec" sheetId="7" state="visible" r:id="rId8"/>
    <sheet name="SIF_detail" sheetId="8" state="visible" r:id="rId9"/>
    <sheet name="Plan_trajectory" sheetId="9" state="visible" r:id="rId10"/>
    <sheet name="Overhead" sheetId="10" state="visible" r:id="rId11"/>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<sst xmlns="http://schemas.openxmlformats.org/spreadsheetml/2006/main" count="474" uniqueCount="379">
  <si>
    <t xml:space="preserve">SPINE pilot scorecard: astropy__astropy-12907 (run 1, FINAL)</t>
  </si>
  <si>
    <t xml:space="preserve">Four cells per model. Coverage metrics (recall, precision, SIF) are scored PLAN vs PLAN only: plan_unstructured against plan_structured, with representation as the single variable. The executing agent is a different modality (tools, real repo) and appears in the recoverability block and the behavior sheet only; it is the task-performance baseline for % Resolved at the Docker stage, not a coverage comparator. Ground truth: ground_truth_astropy12907_iter3.xlsx, 9 nodes, 6 obligations GT-01..GT-06. Prompt identity verified: both plan_unstructured runs sha256 d65a655202a3ffd4; both structured requests sha256 20340444677bea58. Green = locked by construction or by artifact. Yellow = judgment, overridable.</t>
  </si>
  <si>
    <t xml:space="preserve">CONTAMINATION DISCLOSURE: the Claude artifacts name _cstack, which appears nowhere in the request. That is training recall and it may inflate content specificity. Gemini names no _cstack. separable.py is NOT contamination: it is derivable from the intent's own import line. TC/AC/EF are structural and untouched.</t>
  </si>
  <si>
    <t xml:space="preserve">Metric</t>
  </si>
  <si>
    <t xml:space="preserve">CLAUDE plan_unstr</t>
  </si>
  <si>
    <t xml:space="preserve">CLAUDE plan_struct</t>
  </si>
  <si>
    <t xml:space="preserve">GEMINI plan_unstr</t>
  </si>
  <si>
    <t xml:space="preserve">GEMINI plan_struct</t>
  </si>
  <si>
    <t xml:space="preserve">Basis</t>
  </si>
  <si>
    <t xml:space="preserve">CLAUDE traj</t>
  </si>
  <si>
    <t xml:space="preserve">GEMINI traj</t>
  </si>
  <si>
    <t xml:space="preserve">Recall (/6 obligations)</t>
  </si>
  <si>
    <t xml:space="preserve">Coverage_strict; denominator 6. GEMINI struct 0.92 (5.5/6): GT-03 scores 0.5, no characterization step, under the strict criterion applied identically to all four artifacts.</t>
  </si>
  <si>
    <t xml:space="preserve">Precision</t>
  </si>
  <si>
    <t xml:space="preserve">Per-node ledgers. Unit = one policy (tree) or one asserted step (prose). ROOT EXCLUDED from the trees, per the AV convention: P0 restates the intent and cannot score below 1. Denominators 16 / 5 for the trees, 18 / 4 for the prose. UNIT ASYMMETRY: Claude's prose exposes 18 steps and Gemini's 4, so the two prose figures are not comparable to each other; each is comparable to its own structured counterpart.</t>
  </si>
  <si>
    <t xml:space="preserve">TC  trace coverage</t>
  </si>
  <si>
    <t xml:space="preserve">RULING #12: prose diagram does not qualify; lineage must be per-node retrievable</t>
  </si>
  <si>
    <t xml:space="preserve">AC  accountability</t>
  </si>
  <si>
    <t xml:space="preserve">no definer exists in prose, so nothing to recover; every tree node carries definer</t>
  </si>
  <si>
    <t xml:space="preserve">EF  explanation fidelity</t>
  </si>
  <si>
    <t xml:space="preserve">reasoning present but not anchored as a per-node field; every tree node carries rationale</t>
  </si>
  <si>
    <t xml:space="preserve">SIF (5 root elements)</t>
  </si>
  <si>
    <t xml:space="preserve">SIF_detail sheet. 0/0.5/1 rubric under Criterion A (addressability), applied uniformly to all five elements. 0.30 not 0.40: the prior studies scored spatial 1.0 under a fragmentation criterion. Open for meeting; see SIF_detail row 7.</t>
  </si>
  <si>
    <t xml:space="preserve">READ THE BLOCKS SEPARATELY. Coverage (recall, precision, SIF) varies with the model and the task: both models cover the answer key well, so capability is not the variable. Recoverability (TC, AC, EF) does not move at all: 0.00 unstructured, 1.00 structured, both vendors. That is the contribution, isolated. Coverage cannot explain the gap here; only the representation can.</t>
  </si>
  <si>
    <t xml:space="preserve">TC IS THE ONE LIVE JUDGMENT. Claude's unstructured prose invented ids (P1.1..P6.3) and a detached ASCII dependency graph. A path IS reconstructible by a human reading the whole document. It scores 0.00 because lineage must be retrievable per node, not depicted document-wide, which is the O(depth) versus O(n) distinction the paper claims. Flip this cell and report it if you rule the other way.</t>
  </si>
  <si>
    <t xml:space="preserve">NEITHER PLAN PROPOSES THE REFERENCE FIX. The human patch is one line in _cstack (cright[...] = 1 becomes = right). Both plans propose a recursion redesign instead. Refinement correctness is not what this pilot measures (Jul 21: the assurance engine is assumed to do its job); recorded so the Docker stage confirms or overturns it rather than discovering it late.</t>
  </si>
  <si>
    <t xml:space="preserve">OPEN FOR CO-AUTHOR (neither blocks any conclusion; both are about what the metric measures, not what the artifacts contain)</t>
  </si>
  <si>
    <t xml:space="preserve">Q-A. SIF spatial rubric. Prose spatial is scored 0.5 here under the addressability criterion used by TC, AC and EF: present in the document is not the same as retrievable at the node. The submitted studies scored it 1.0 under a fragmentation criterion (stated whole vs reassembled from specializations) that appears nowhere else in the metric suite. Unstructured SIF is therefore 0.30 here and 0.40 there, differing in exactly one cell. Either recompute the prior studies or report the two rubrics side by side.</t>
  </si>
  <si>
    <t xml:space="preserve">Q-B. Does SIF score field PRESENCE or AGREEMENT with the ground-truth value? Gemini structured carries context = 'issue-resolution' where the GT root has 'production'. Scored 1.0 here on presence: the field is populated and readable, so the lineage question can be answered, which is what SIF measures. Whether the value is the right one is a refinement-quality question, and quality is out of scope for this stage per the Jul 21 direction that the assurance engine is assumed to do its job. Score 0.5 if she rules SIF against the GT value.</t>
  </si>
  <si>
    <t xml:space="preserve">TRAJECTORY CELL (added after scoring closed, disclosed as such): the state-of-practice format, fields but no lineage. Recall depressed by the four-tool vocabulary (disclosed on Plan_trajectory). TC/AC 0.00, EF 1.00 per the anchored-thoughts ruling, SIF 0.30. Claude's output FAILED to parse (real diff broke the JSON string); Gemini parsed clean by using placeholder patches. Format-content trade-off, see Plan_trajectory.</t>
  </si>
  <si>
    <t xml:space="preserve">Recall: which of the 6 answer-key obligations does each plan cover?</t>
  </si>
  <si>
    <t xml:space="preserve">1 = covered, 0.5 = gestured at without naming, 0 = absent. Edit the marks; totals re-derive. Denominator is 6 (GT-01..GT-06); the 3 scaffolding GT nodes are excluded, as in every prior GT.</t>
  </si>
  <si>
    <t xml:space="preserve">GT id</t>
  </si>
  <si>
    <t xml:space="preserve">Obligation</t>
  </si>
  <si>
    <t xml:space="preserve">CLAUDE unstr</t>
  </si>
  <si>
    <t xml:space="preserve">CLAUDE struct</t>
  </si>
  <si>
    <t xml:space="preserve">GEMINI unstr</t>
  </si>
  <si>
    <t xml:space="preserve">GEMINI struct</t>
  </si>
  <si>
    <t xml:space="preserve">Notes</t>
  </si>
  <si>
    <t xml:space="preserve">GT-01</t>
  </si>
  <si>
    <t xml:space="preserve">Reproduce the reported incorrect behavior</t>
  </si>
  <si>
    <t xml:space="preserve">C: G1/P1.1-P1.2 pin env and run the three calls verbatim. CS: P2 + P2.1 run the reproduction script. G: Policy 1 creates and runs the reproduction script. GS: P2 reproduce.</t>
  </si>
  <si>
    <t xml:space="preserve">GT-02</t>
  </si>
  <si>
    <t xml:space="preserve">Localize the defect in the separability computation</t>
  </si>
  <si>
    <t xml:space="preserve">C: G2/P2.1-P2.3 trace the entry point and audit the combinator. CS: P3 trace + P1 monitor. G: Policy 1 search and locate. GS: P1 locate.</t>
  </si>
  <si>
    <t xml:space="preserve">GT-03</t>
  </si>
  <si>
    <t xml:space="preserve">Characterize why nesting specifically breaks it</t>
  </si>
  <si>
    <t xml:space="preserve">STRICT CRITERION, applied identically to all four: does the plan contain a step whose stated purpose is to explain the mechanism, distinct from locating the code and distinct from designing the fix? CLAUDE unstr G3 asserts the block-diagonal invariant and pinpoints the divergence = 1. CLAUDE struct P3.1 compares flat vs nested and P3.2 identifies the combination logic = 1. GEMINI unstr Policy 2 'Identify the Defect' names the mechanism twice ('treats nested CompoundModels as leaf nodes, assuming all inputs and outputs are fully coupled' and 'recursion fails to retrieve the pre-calculated separability matrix'). Both are correct descriptions of the real defect; the verbs hedge ('determine if', 'check if') but the content is right, and hedging is not the criterion = 1. GEMINI struct has NO such step: P1 is locate, P3 is design, and the understanding appears only as a purpose clause inside P1's rationale ('necessary to understand how it processes nested CompoundModels'). Compression effect: six nodes absorb work the same model gave its own heading in prose = 0.5.</t>
  </si>
  <si>
    <t xml:space="preserve">GT-04</t>
  </si>
  <si>
    <t xml:space="preserve">Correct the computation for nested CompoundModels</t>
  </si>
  <si>
    <t xml:space="preserve">C: G4/P4.2-P4.3. CS: P5 edit. G: Policy 3 apply the fix. GS: P4 patch. Note none of the four names the actual one-line _cstack assignment.</t>
  </si>
  <si>
    <t xml:space="preserve">GT-05</t>
  </si>
  <si>
    <t xml:space="preserve">Verify the reported case yields the expected output</t>
  </si>
  <si>
    <t xml:space="preserve">C: P5.1 TEST_CASE_3 asserts the nested case. CS: P5.1 validate against the intent's matrices. G: Policy 4 verify with the expected array. GS: P5 test covers verify and preserve in one node.</t>
  </si>
  <si>
    <t xml:space="preserve">GT-06</t>
  </si>
  <si>
    <t xml:space="preserve">Preserve existing behavior (no regressions)</t>
  </si>
  <si>
    <t xml:space="preserve">C: P5.2 full suite, 0 new failures. CS: P6.1 run the existing suite (carries GT-06 per ruling #2, NOT P6). G: Policy 4 run existing tests. GS: P5 test, same node as GT-05.</t>
  </si>
  <si>
    <t xml:space="preserve">RECALL</t>
  </si>
  <si>
    <t xml:space="preserve">Both models cover the key well in both representations. That is the point: capability is not the variable being tested, so coverage cannot explain the recoverability gap.</t>
  </si>
  <si>
    <t xml:space="preserve">GEMINI IS THE ONLY MODEL WHERE THE STRUCTURED ARM SCORES LOWER ON COVERAGE: 1.00 unstructured vs 0.92 structured (5.5 of 6). Report it, do not soften it. A scorecard where the treatment wins every cell reads as authored; one where the schema costs half a point, on a compression effect that can be explained, reads as measured. It is also the direct answer to the sharpest objection: the schema did not manufacture coverage.</t>
  </si>
  <si>
    <t xml:space="preserve">SHARED TEST-SUITE PRIOR, all four artifacts. The intent contains ZERO occurrences of 'test'. Yet every artifact, both vendors and both representations, supplies a test regime: Gemini unstructured predicts the path ('typically in astropy/modeling/tests/test_separable.py'), Claude unstructured names five specific test cases, and both trees carry test branches. KEEP THIS DISTINCT FROM _cstack CONTAMINATION: the test-file location follows from standard Python project layout and is guessable; _cstack is a specific buggy symbol that is not. Conflating them lets a reviewer dismiss both. Consequence: ruling #2 (new-test authoring is beyond-intent) is strengthened, because the test regime is a model prior about software engineering practice, not a product of the refinement.</t>
  </si>
  <si>
    <t xml:space="preserve">Precision: is each emitted policy inside the intent?</t>
  </si>
  <si>
    <t xml:space="preserve">1 = relevant, 0 = beyond-intent. Unit = one policy. Rulings applied: #2 (new-test authoring = 0, running the existing suite = 1), #3 (delivery branch = 0), #6 (Monitor node = 1, relevant).</t>
  </si>
  <si>
    <t xml:space="preserve">CLAUDE id</t>
  </si>
  <si>
    <t xml:space="preserve">action / resource</t>
  </si>
  <si>
    <t xml:space="preserve">rel</t>
  </si>
  <si>
    <t xml:space="preserve">note</t>
  </si>
  <si>
    <t xml:space="preserve">GEMINI id</t>
  </si>
  <si>
    <t xml:space="preserve">P0</t>
  </si>
  <si>
    <t xml:space="preserve">fix / separability_matrix</t>
  </si>
  <si>
    <t xml:space="preserve">ROOT EXCLUDED from precision. P0's own rationale reads 'Restates the raw intent', level declarative, parent_id null, Orchestrator-enforced. It is the intent restated, not a derived step. Same convention as the AV study, where including the root spuriously matched Copilot's P0 to GT-02 and wrongly flagged Gemini's P0 as a false positive. It also cannot score anything but 1, so leaving it in the denominator hands the structured arm a guaranteed point no unstructured artifact has an equivalent for. Still checked structurally, never scored.</t>
  </si>
  <si>
    <t xml:space="preserve">resolve / separability bug</t>
  </si>
  <si>
    <t xml:space="preserve">ROOT EXCLUDED, same basis. Gemini P0 rationale: 'Restates the raw intent to fix the incorrect separability matrix calculation.'</t>
  </si>
  <si>
    <t xml:space="preserve">P1</t>
  </si>
  <si>
    <t xml:space="preserve">monitor / function and call graph</t>
  </si>
  <si>
    <t xml:space="preserve">RULING #6: relevant. Its rationale is bounded pre-fix observation ('before any fix can be planned'); T=always is the request's stated default and 'continuously' is a cadence word the request classifies as a firing condition, not a temporal value.</t>
  </si>
  <si>
    <t xml:space="preserve">locate / implementation</t>
  </si>
  <si>
    <t xml:space="preserve">P2</t>
  </si>
  <si>
    <t xml:space="preserve">reproduce / failing nested cases</t>
  </si>
  <si>
    <t xml:space="preserve">reproduce / nested test case</t>
  </si>
  <si>
    <t xml:space="preserve">P2.1</t>
  </si>
  <si>
    <t xml:space="preserve">run / reproduction script</t>
  </si>
  <si>
    <t xml:space="preserve">GT-01 executable</t>
  </si>
  <si>
    <t xml:space="preserve">P3</t>
  </si>
  <si>
    <t xml:space="preserve">design / traversal algorithm</t>
  </si>
  <si>
    <t xml:space="preserve">trace / call graph incl _cstack</t>
  </si>
  <si>
    <t xml:space="preserve">GT-02. Names _cstack: contamination, disclosed.</t>
  </si>
  <si>
    <t xml:space="preserve">P4</t>
  </si>
  <si>
    <t xml:space="preserve">patch / separability code</t>
  </si>
  <si>
    <t xml:space="preserve">P3.1</t>
  </si>
  <si>
    <t xml:space="preserve">compare / flat vs nested matrix</t>
  </si>
  <si>
    <t xml:space="preserve">P5</t>
  </si>
  <si>
    <t xml:space="preserve">test / reproduction + existing suite</t>
  </si>
  <si>
    <t xml:space="preserve">GT-05 and GT-06 in one node; no new-test authoring, so no #2 deduction</t>
  </si>
  <si>
    <t xml:space="preserve">P3.2</t>
  </si>
  <si>
    <t xml:space="preserve">identify / traversal and combination logic</t>
  </si>
  <si>
    <t xml:space="preserve">decide / code change strategy</t>
  </si>
  <si>
    <t xml:space="preserve">plan hub</t>
  </si>
  <si>
    <t xml:space="preserve">P4.1</t>
  </si>
  <si>
    <t xml:space="preserve">design / recursive unwrapping</t>
  </si>
  <si>
    <t xml:space="preserve">bears P5 and P5.1 per the Jul 21 ruling</t>
  </si>
  <si>
    <t xml:space="preserve">P4.2</t>
  </si>
  <si>
    <t xml:space="preserve">design / regression test cases</t>
  </si>
  <si>
    <t xml:space="preserve">RULING #2: authoring new tests is beyond-intent. Intent Ctrl-F 'test' = 0 hits; the harness grades with its own hidden tests.</t>
  </si>
  <si>
    <t xml:space="preserve">edit / _separable branch</t>
  </si>
  <si>
    <t xml:space="preserve">P5.1</t>
  </si>
  <si>
    <t xml:space="preserve">validate / patched output vs expected</t>
  </si>
  <si>
    <t xml:space="preserve">GT-05. Parent pointer says P5; per the ruling its lineage parent is P4.1 and the pointer is sequencing.</t>
  </si>
  <si>
    <t xml:space="preserve">P6</t>
  </si>
  <si>
    <t xml:space="preserve">write / new pytest functions</t>
  </si>
  <si>
    <t xml:space="preserve">RULING #2: beyond-intent</t>
  </si>
  <si>
    <t xml:space="preserve">P6.1</t>
  </si>
  <si>
    <t xml:space="preserve">run / existing separable suite</t>
  </si>
  <si>
    <t xml:space="preserve">GT-06. This is the node that carries GT-06 recall.</t>
  </si>
  <si>
    <t xml:space="preserve">P7</t>
  </si>
  <si>
    <t xml:space="preserve">decide / pull-request change set</t>
  </si>
  <si>
    <t xml:space="preserve">RULING #3: delivery branch</t>
  </si>
  <si>
    <t xml:space="preserve">P7.1</t>
  </si>
  <si>
    <t xml:space="preserve">commit / changed files</t>
  </si>
  <si>
    <t xml:space="preserve">RULING #3</t>
  </si>
  <si>
    <t xml:space="preserve">P7.2</t>
  </si>
  <si>
    <t xml:space="preserve">submit / PR to astropy main</t>
  </si>
  <si>
    <t xml:space="preserve">RULING #3. Also an unverified repo assumption; structure made it vetoable pre-execution.</t>
  </si>
  <si>
    <t xml:space="preserve">PRECISION</t>
  </si>
  <si>
    <t xml:space="preserve">Gemini emits nothing beyond the intent, so its precision is 1.00 on 6 nodes while Claude pays for a test-authoring branch and a delivery branch. Ruling #13 records that this drift is a MODEL trait, not a product of the schema: Claude's unstructured prose drifted the same way with no schema present.</t>
  </si>
  <si>
    <t xml:space="preserve">ROOT EXCLUSION, applied Jul 26 for consistency with the submitted paper. Precision denominators are 16 (Claude) and 5 (Gemini), not 17 and 6. The prose sheets have no root to exclude: neither plan emits an intent-restating node, so all asserted steps are scored.</t>
  </si>
  <si>
    <t xml:space="preserve">Precision: asserted steps extracted from prose</t>
  </si>
  <si>
    <t xml:space="preserve">Unit = one asserted step, the convention inherited from the paper's unstructured setting (5/8). Claude's prose supplies its own step ids; Gemini's does not, so its four policies are the steps.</t>
  </si>
  <si>
    <t xml:space="preserve">CLAUDE step</t>
  </si>
  <si>
    <t xml:space="preserve">content</t>
  </si>
  <si>
    <t xml:space="preserve">GEMINI step</t>
  </si>
  <si>
    <t xml:space="preserve">P1.1</t>
  </si>
  <si>
    <t xml:space="preserve">environment pinning, run the 3 calls</t>
  </si>
  <si>
    <t xml:space="preserve">Policy 1</t>
  </si>
  <si>
    <t xml:space="preserve">localization and diagnostics</t>
  </si>
  <si>
    <t xml:space="preserve">GT-01 and GT-02</t>
  </si>
  <si>
    <t xml:space="preserve">P1.2</t>
  </si>
  <si>
    <t xml:space="preserve">minimal reproducer canonicalization</t>
  </si>
  <si>
    <t xml:space="preserve">Policy 2</t>
  </si>
  <si>
    <t xml:space="preserve">analysis and design</t>
  </si>
  <si>
    <t xml:space="preserve">GT-03 partial and design</t>
  </si>
  <si>
    <t xml:space="preserve">entry-point tracing</t>
  </si>
  <si>
    <t xml:space="preserve">Policy 3</t>
  </si>
  <si>
    <t xml:space="preserve">implementation, plus PEP 8 note</t>
  </si>
  <si>
    <t xml:space="preserve">GT-04. The style clause is minor drift, not scored separately.</t>
  </si>
  <si>
    <t xml:space="preserve">P2.2</t>
  </si>
  <si>
    <t xml:space="preserve">recursive structure inspection</t>
  </si>
  <si>
    <t xml:space="preserve">Policy 4</t>
  </si>
  <si>
    <t xml:space="preserve">verification and testing</t>
  </si>
  <si>
    <t xml:space="preserve">GT-05, GT-06, and an add-regression-tests clause. JUDGMENT: the add-tests clause would be 0 under ruling #2 if scored as its own step; it is fused here, so the node scores 1.</t>
  </si>
  <si>
    <t xml:space="preserve">P2.3</t>
  </si>
  <si>
    <t xml:space="preserve">matrix combination audit (_cstack)</t>
  </si>
  <si>
    <t xml:space="preserve">block-diagonal invariant contract</t>
  </si>
  <si>
    <t xml:space="preserve">GT-03. Also asks for a docstring-level contract, borderline.</t>
  </si>
  <si>
    <t xml:space="preserve">hypothesis confirmation with debug prints</t>
  </si>
  <si>
    <t xml:space="preserve">P3.3</t>
  </si>
  <si>
    <t xml:space="preserve">defect pinpointing to line numbers</t>
  </si>
  <si>
    <t xml:space="preserve">fix scope constraint</t>
  </si>
  <si>
    <t xml:space="preserve">scopes GT-04</t>
  </si>
  <si>
    <t xml:space="preserve">recursive dispatch fix</t>
  </si>
  <si>
    <t xml:space="preserve">GT-04. The proposed fix is not the reference patch.</t>
  </si>
  <si>
    <t xml:space="preserve">P4.3</t>
  </si>
  <si>
    <t xml:space="preserve">leaf vs compound guard</t>
  </si>
  <si>
    <t xml:space="preserve">P4.4</t>
  </si>
  <si>
    <t xml:space="preserve">fix atomicity, commit message format</t>
  </si>
  <si>
    <t xml:space="preserve">beyond-intent, delivery. Same basis as ruling #3.</t>
  </si>
  <si>
    <t xml:space="preserve">author 5 exact-value regression tests</t>
  </si>
  <si>
    <t xml:space="preserve">JUDGMENT. Ruling #2 says authoring new tests is beyond-intent, so 0. But TEST_CASE_3 is where the reported case is verified, so GT-05 recall rides on a node scored 0 here. Same shape as the P6/P6.1 split in the tree, except the prose fuses them. Flip to 1 if you rule the split cannot be applied to fused prose.</t>
  </si>
  <si>
    <t xml:space="preserve">P5.2</t>
  </si>
  <si>
    <t xml:space="preserve">run the full suite, 0 new failures</t>
  </si>
  <si>
    <t xml:space="preserve">P5.3</t>
  </si>
  <si>
    <t xml:space="preserve">parametrized property test</t>
  </si>
  <si>
    <t xml:space="preserve">beyond-intent, new tests</t>
  </si>
  <si>
    <t xml:space="preserve">docstring update</t>
  </si>
  <si>
    <t xml:space="preserve">beyond-intent, documentation</t>
  </si>
  <si>
    <t xml:space="preserve">P6.2</t>
  </si>
  <si>
    <t xml:space="preserve">CHANGES.rst changelog entry</t>
  </si>
  <si>
    <t xml:space="preserve">P6.3</t>
  </si>
  <si>
    <t xml:space="preserve">beyond-intent, procedural</t>
  </si>
  <si>
    <t xml:space="preserve">UNIT ASYMMETRY, disclose it: Claude's prose exposes 18 steps and Gemini's exposes 4, so the two precision figures are not directly comparable to each other. Each is comparable to its own structured counterpart, which is the contrast the sheet is for.</t>
  </si>
  <si>
    <t xml:space="preserve">TC / AC / EF across all six artifacts</t>
  </si>
  <si>
    <t xml:space="preserve">Structural only, never content quality. Zeros mean the FIELD DOES NOT EXIST in that representation, not that no reasoning was recorded. Green cells are locked by artifact inspection; the one yellow cell is ruling #12.</t>
  </si>
  <si>
    <t xml:space="preserve">Artifact</t>
  </si>
  <si>
    <t xml:space="preserve">modality</t>
  </si>
  <si>
    <t xml:space="preserve">nodes / events</t>
  </si>
  <si>
    <t xml:space="preserve">TC</t>
  </si>
  <si>
    <t xml:space="preserve">AC</t>
  </si>
  <si>
    <t xml:space="preserve">EF</t>
  </si>
  <si>
    <t xml:space="preserve">basis</t>
  </si>
  <si>
    <t xml:space="preserve">CLAUDE plan_structured</t>
  </si>
  <si>
    <t xml:space="preserve">plan</t>
  </si>
  <si>
    <t xml:space="preserve">17 policies</t>
  </si>
  <si>
    <t xml:space="preserve">verified: all 17 carry parent_id, definer and rationale; 0 missing</t>
  </si>
  <si>
    <t xml:space="preserve">GEMINI plan_structured</t>
  </si>
  <si>
    <t xml:space="preserve">6 policies</t>
  </si>
  <si>
    <t xml:space="preserve">verified: all 6 carry parent_id, definer and rationale; 0 missing</t>
  </si>
  <si>
    <t xml:space="preserve">CLAUDE plan_unstructured</t>
  </si>
  <si>
    <t xml:space="preserve">18 asserted steps</t>
  </si>
  <si>
    <t xml:space="preserve">RULING #12. Ids and a detached ASCII dependency graph were invented with no schema in the prompt, so a path IS reconstructible by reading the whole document. TC=0 because lineage must be retrievable per node, not depicted document-wide. AC=0: no definer exists anywhere. EF=0: reasoning is present but not anchored to a node as a field.</t>
  </si>
  <si>
    <t xml:space="preserve">GEMINI plan_unstructured</t>
  </si>
  <si>
    <t xml:space="preserve">4 policies</t>
  </si>
  <si>
    <t xml:space="preserve">flat prose, no ids at all; the single 'parent' probe hit is the domain phrase 'parent model's matrix', not a pointer</t>
  </si>
  <si>
    <t xml:space="preserve">CLAUDE exec_unstructured</t>
  </si>
  <si>
    <t xml:space="preserve">exec</t>
  </si>
  <si>
    <t xml:space="preserve">13 events</t>
  </si>
  <si>
    <t xml:space="preserve">flat trajectory: thought/action/observation only, by construction</t>
  </si>
  <si>
    <t xml:space="preserve">GEMINI exec_unstructured</t>
  </si>
  <si>
    <t xml:space="preserve">30 events</t>
  </si>
  <si>
    <t xml:space="preserve">flat trajectory, budget exhausted; same construction</t>
  </si>
  <si>
    <t xml:space="preserve">CLAUDE plan_trajectory</t>
  </si>
  <si>
    <t xml:space="preserve">11 steps (raw text; JSON parse FAILED)</t>
  </si>
  <si>
    <t xml:space="preserve">fields per step, no parent, no definer; every step carries a thought so EF=1.00 per the ruling on Plan_trajectory row 32. Parse failure disclosed: real diff content broke the JSON string.</t>
  </si>
  <si>
    <t xml:space="preserve">GEMINI plan_trajectory</t>
  </si>
  <si>
    <t xml:space="preserve">7 steps (clean JSON)</t>
  </si>
  <si>
    <t xml:space="preserve">same structure; format kept clean by placeholder patches ('... corrected code ...').</t>
  </si>
  <si>
    <t xml:space="preserve">UPDATED READ with the trajectory cell: TC and AC stay 0.00 across FIVE unstructured artifacts, two vendors, three representations. EF is 1.00 for trajectory because thoughts anchor per step, so the cliff that carries the claim is TC and AC. That narrowing is honest and stated, not hidden.</t>
  </si>
  <si>
    <t xml:space="preserve">Semantic Intent Fidelity: 5 root-tuple elements</t>
  </si>
  <si>
    <t xml:space="preserve">Scored once at intent level on Action, Resource, Spatial, Temporal, Context (Definer and Enforcer excluded). Rubric 0 / 0.5 / 1.0: 1.0 carried as a recoverable field, 0.5 present in prose but not fielded, 0 absent.</t>
  </si>
  <si>
    <t xml:space="preserve">Element</t>
  </si>
  <si>
    <t xml:space="preserve">Action</t>
  </si>
  <si>
    <t xml:space="preserve">unstr: 'resolve the issue' / 'fix' stated in prose, not a field. struct: action=fix / action=resolve on P0.</t>
  </si>
  <si>
    <t xml:space="preserve">Resource</t>
  </si>
  <si>
    <t xml:space="preserve">unstr: separability_matrix named in prose. struct: constraints.resource on P0.</t>
  </si>
  <si>
    <t xml:space="preserve">Spatial</t>
  </si>
  <si>
    <t xml:space="preserve">CRITERION A (addressability), applied uniformly: prose states astropy/modeling/separable.py but does not field it, so 0.5 like Action and Resource. Changed from 1.0; the prior studies used a fragmentation criterion that appears nowhere else in the suite. Full reasoning and the question for Dr. Nasim are on SIF_detail row 7.</t>
  </si>
  <si>
    <t xml:space="preserve">Temporal</t>
  </si>
  <si>
    <t xml:space="preserve">unstr: no timing content at all in either prose plan. struct: temporal=always on every node, which is the request's stated default.</t>
  </si>
  <si>
    <t xml:space="preserve">Context</t>
  </si>
  <si>
    <t xml:space="preserve">unstr: no operating-mode statement. struct: context=production on P0.</t>
  </si>
  <si>
    <t xml:space="preserve">SIF</t>
  </si>
  <si>
    <t xml:space="preserve">Unstructured SIF is 0.30 under the uniform criterion. The prior protect_files and embodied studies report 0.40, which differs ONLY in the spatial cell. Nothing else in this scorecard moves either way, and no conclusion changes: 0.30 vs 1.00 says exactly what 0.40 vs 1.00 says.</t>
  </si>
  <si>
    <t xml:space="preserve">Executing agent: behavior stats (NOT a coverage comparator)</t>
  </si>
  <si>
    <t xml:space="preserve">Reported to understand the baseline before adding structure (Jul 14 directive D2), and as the task-performance baseline for % Resolved at the Docker stage. TIER CONFOUND: Gemini 3 ships flash tiers only, so this is flash against Sonnet. Do NOT claim one model beats the other.</t>
  </si>
  <si>
    <t xml:space="preserve">Measure</t>
  </si>
  <si>
    <t xml:space="preserve">CLAUDE exec</t>
  </si>
  <si>
    <t xml:space="preserve">GEMINI exec</t>
  </si>
  <si>
    <t xml:space="preserve">Reading</t>
  </si>
  <si>
    <t xml:space="preserve">model</t>
  </si>
  <si>
    <t xml:space="preserve">claude-sonnet-4-6</t>
  </si>
  <si>
    <t xml:space="preserve">gemini-3.5-flash</t>
  </si>
  <si>
    <t xml:space="preserve">tier confound, disclosed</t>
  </si>
  <si>
    <t xml:space="preserve">turns</t>
  </si>
  <si>
    <t xml:space="preserve">13</t>
  </si>
  <si>
    <t xml:space="preserve">30</t>
  </si>
  <si>
    <t xml:space="preserve">30 is OUR configured cap, not a benchmark standard</t>
  </si>
  <si>
    <t xml:space="preserve">outcome</t>
  </si>
  <si>
    <t xml:space="preserve">done</t>
  </si>
  <si>
    <t xml:space="preserve">budget_exhausted</t>
  </si>
  <si>
    <t xml:space="preserve">'budget exhausted' = the cap ended the run; the agent never chose to stop</t>
  </si>
  <si>
    <t xml:space="preserve">searches</t>
  </si>
  <si>
    <t xml:space="preserve">2</t>
  </si>
  <si>
    <t xml:space="preserve">7</t>
  </si>
  <si>
    <t xml:space="preserve">file opens</t>
  </si>
  <si>
    <t xml:space="preserve">8</t>
  </si>
  <si>
    <t xml:space="preserve">23</t>
  </si>
  <si>
    <t xml:space="preserve">edits</t>
  </si>
  <si>
    <t xml:space="preserve">1</t>
  </si>
  <si>
    <t xml:space="preserve">0</t>
  </si>
  <si>
    <t xml:space="preserve">Claude's single edit is character-identical to the human patch. Resolved = EXPECTED, not confirmed; the Docker harness has not run.</t>
  </si>
  <si>
    <t xml:space="preserve">silent turns</t>
  </si>
  <si>
    <t xml:space="preserve">5 / 13</t>
  </si>
  <si>
    <t xml:space="preserve">29 / 30</t>
  </si>
  <si>
    <t xml:space="preserve">tool call with no thought text; the audit texture the paper describes</t>
  </si>
  <si>
    <t xml:space="preserve">repeated actions</t>
  </si>
  <si>
    <t xml:space="preserve">12</t>
  </si>
  <si>
    <t xml:space="preserve">identical name and args seen before; ties to MAST step repetition and the Overthinking analysis-paralysis reading Dr. Nasim raised on Jul 21</t>
  </si>
  <si>
    <t xml:space="preserve">The finding is the contrast between the cells, not between the models: the flash-tier agent burned 30 turns without an edit in the executing cell, yet produced a complete, fully recoverable 6-policy tree in the structured plan cell. Capability varies wildly; structural recoverability does not.</t>
  </si>
  <si>
    <t xml:space="preserve">SIF evidence: where each intent element does and does not survive</t>
  </si>
  <si>
    <t xml:space="preserve">HOW SIF IS SCORED, read this first. SIF is scored ONCE per artifact at the INTENT level, on the five elements of the root tuple (Action, Resource, Spatial, Temporal, Context). Definer and Enforcer are excluded. It is NOT scored per policy. The question is: does the intent's meaning survive into this representation in a form that can be read back? Reference = the GT root tuple P0 in ground_truth_astropy12907_iter3.xlsx. CRITERION A, ADDRESSABILITY, applied uniformly: 1.0 = carried as a labelled field that can be read off directly. 0.5 = the content is present in running prose but is not a field, so it must be found by reading. 0 = absent entirely. This is the same criterion TC, AC and EF use: present in the document is not the same as retrievable at the node. Under it, no prose element can score 1.0.</t>
  </si>
  <si>
    <t xml:space="preserve">GT reference (P0)</t>
  </si>
  <si>
    <t xml:space="preserve">GEM struct</t>
  </si>
  <si>
    <t xml:space="preserve">CLAUDE unstr: where it appears</t>
  </si>
  <si>
    <t xml:space="preserve">GEM unstr: where it appears</t>
  </si>
  <si>
    <t xml:space="preserve">CU</t>
  </si>
  <si>
    <t xml:space="preserve">GU</t>
  </si>
  <si>
    <t xml:space="preserve">CS</t>
  </si>
  <si>
    <t xml:space="preserve">GS</t>
  </si>
  <si>
    <t xml:space="preserve">What a 1.0 would have required in prose</t>
  </si>
  <si>
    <t xml:space="preserve">fix</t>
  </si>
  <si>
    <t xml:space="preserve">field action = "fix"</t>
  </si>
  <si>
    <t xml:space="preserve">field action = "resolve"</t>
  </si>
  <si>
    <t xml:space="preserve">NOT a field. Present only in running prose: title "Nested CompoundModel Bug" (line 0) and the section heading "POLICY G4 - Correction" (line 106). The verb must be inferred from headings.</t>
  </si>
  <si>
    <t xml:space="preserve">NOT a field. Present only in the opening sentence, "To resolve the issue where separability_matrix fails to compute the correct separability" (line 0).</t>
  </si>
  <si>
    <t xml:space="preserve">A labelled element, e.g. a line reading "Action: fix" attached to the intent. A verb inside a heading or an opening sentence is content, not a field, so it scores 0.5.</t>
  </si>
  <si>
    <t xml:space="preserve">separability computation for nested CompoundModels</t>
  </si>
  <si>
    <t xml:space="preserve">field resource = "separability_matrix function in astropy.modeling.separable"</t>
  </si>
  <si>
    <t xml:space="preserve">field resource = "separability_matrix bug for nested CompoundModels"</t>
  </si>
  <si>
    <t xml:space="preserve">NOT a field. separability_matrix appears 24 times scattered through the document; no single place names the governed object.</t>
  </si>
  <si>
    <t xml:space="preserve">NOT a field. separability_matrix appears 7 times, first at line 0; no single place names the governed object.</t>
  </si>
  <si>
    <t xml:space="preserve">One labelled element naming the governed object once. Scattering the name 24 times through prose is not the same as carrying it as a field: a reader must decide which mention is the scope.</t>
  </si>
  <si>
    <t xml:space="preserve">astropy repository</t>
  </si>
  <si>
    <t xml:space="preserve">field spatial = "astropy repository codebase"</t>
  </si>
  <si>
    <t xml:space="preserve">field spatial = "astropy repository"</t>
  </si>
  <si>
    <t xml:space="preserve">STATED as an explicit path token: "astropy/modeling/separable.py" (line 54) and the scope constraint "Be confined to astropy/modeling/separable.py unless evidence" (line 127).</t>
  </si>
  <si>
    <t xml:space="preserve">STATED as an explicit path token: "Search the repository" (line 16) and "astropy/modeling/separable.py" (line 36).</t>
  </si>
  <si>
    <t xml:space="preserve">CRITERION A APPLIED (addressability). 0.5, not 1.0: the path is present in prose but is not a labelled field, exactly like Action and Resource. Nothing in prose is fielded, so nothing in prose can reach 1.0. CHANGED FROM 1.0 ON JUL 26, and the change is a consistency fix, not a re-reading of the artifacts. The prior studies scored spatial 1.0 under a DIFFERENT criterion (B, fragmentation): spatial was stated whole and read off directly, while action and resource were split across per-policy specializations and had to be reassembled. Criterion B appears nowhere else in the metric suite. TC scores 0 because lineage is depicted rather than retrievable per node; AC scores 0 because no definer field exists; EF scores 0 because reasoning is present but not anchored as a field. All three are addressability arguments. Criterion A is therefore the one that matches the paper, and it is also the harder criterion to argue with, since 'is it a field' is checkable and 'stated whole' is a judgment. CONSEQUENCE: unstructured SIF is 0.30, not the 0.40 reported in the prior studies. Flip these two cells back to 1.0 to restore 0.40. FOR DR. NASIM: the prior spatial 1.0 rests on a fragmentation criterion while the rest of the suite rests on addressability, and they disagree on exactly this one cell. Either recompute the prior studies at 0.30 or report the two rubrics side by side. She is the authority on conventions; nothing else in the scorecard moves either way.</t>
  </si>
  <si>
    <t xml:space="preserve">always</t>
  </si>
  <si>
    <t xml:space="preserve">field temporal = "always"</t>
  </si>
  <si>
    <t xml:space="preserve">ABSENT. Zero temporal statements. The single "always" hit is inside a code comment, "# always recurse fully" (line 147), which is control flow, not a temporal scope.</t>
  </si>
  <si>
    <t xml:space="preserve">ABSENT. Zero hits for always, continuously, deadline, or any period.</t>
  </si>
  <si>
    <t xml:space="preserve">Any statement of when the policy is in force. Neither plan makes one, in any form, so there is nothing to score at 0.5. NOTE: the intent itself states no temporal either; the structured arm earns 1.0 because the request instructs "always" as the stated default, so the field is populated and readable.</t>
  </si>
  <si>
    <t xml:space="preserve">production</t>
  </si>
  <si>
    <t xml:space="preserve">field context = "production"</t>
  </si>
  <si>
    <t xml:space="preserve">field context = "issue-resolution"  &lt;-- differs from the GT reference</t>
  </si>
  <si>
    <t xml:space="preserve">ABSENT. Zero operating-mode statements. The 3 apparent "production" hits are FALSE POSITIVES: all three are inside the word "Reproduction".</t>
  </si>
  <si>
    <t xml:space="preserve">ABSENT. Same false-positive check applied; the 3 "production" hits are all inside "Reproduction".</t>
  </si>
  <si>
    <t xml:space="preserve">Any statement of the operating mode (production, staging, sandbox). Neither plan makes one. JUDGMENT on GEMINI struct: its context field says "issue-resolution", not "production". The field is carried and readable, and the value is a defensible operating mode, so it scores 1.0 on preservation. Score it 0.5 if you rule SIF against the GT value rather than against field presence.</t>
  </si>
  <si>
    <t xml:space="preserve">WHY THE PROSE LOSES: 0.5 + 0.5 + 0.5 + 0 + 0 over 5 = 0.30. Action, Resource and Spatial are all present but unlabelled, so each is recoverable only by reading. Temporal and Context are not present in any form. The prior studies reported 0.40 because spatial was scored 1.0 under the fragmentation criterion; see the Spatial row.</t>
  </si>
  <si>
    <t xml:space="preserve">WHAT THIS MEASURES THAT COVERAGE DOES NOT. Recall asks whether the required work was named. SIF asks whether the intent's own semantics survived the refinement. A plan can name all six obligations (recall 1.00) and still lose when the policy applies and what mode the system is in (SIF 0.40). Those two lost elements are exactly what an operator needs at runtime to decide whether a policy is still in force.</t>
  </si>
  <si>
    <t xml:space="preserve">Trajectory plan cell: third representation (fields, no lineage)</t>
  </si>
  <si>
    <t xml:space="preserve">Added after scoring closed, from reviewing the results; in the loop, not the primary plan. Same prompt prefix as plan_unstructured byte for byte (both runs sha256 2b86ad3739fba899), plus ONLY an output-format block asking for trajectory steps: thought / action{name,args} / expected_observation, action vocabulary = the exec harness's four tools. Claude: 11 steps, 45.5 s, output FAILED to parse as JSON. Gemini: 7 steps, 16.9 s, clean JSON. All marks below are provisional; yellow = judgment, overridable.</t>
  </si>
  <si>
    <t xml:space="preserve">DISCLOSED CONFOUND: the four-tool vocabulary (search_repo, open_file, edit_file, done) contains no way to RUN anything, so GT-01 (reproduce) is unreachable by construction and trajectory recall is depressed by tool vocabulary as well as by format. The constraint is faithful: the banked exec run had the same four tools, and it makes this plan directly executable at stage 7. Counterpoint it exposed: the structured tree's P2.1 says 'run the reproduction script', an action the harness cannot perform; real wiring question for the execute arm.</t>
  </si>
  <si>
    <t xml:space="preserve">Neither trajectory reproduces: no tool in the vocabulary can execute code. See the disclosed confound above. Claude's step 10 test ASSERTS the reported case but authored tests never run under the harness.</t>
  </si>
  <si>
    <t xml:space="preserve">Localize the defect</t>
  </si>
  <si>
    <t xml:space="preserve">C: steps 1-5, search, open, targeted _cstack search, CompoundModel class inspection, focused re-read. G: steps 1-2, search and open separable.py.</t>
  </si>
  <si>
    <t xml:space="preserve">Characterize why nesting breaks it</t>
  </si>
  <si>
    <t xml:space="preserve">STRICT CRITERION, same sentence as Coverage_strict G7. C: step 5 is a dedicated identify step, names the mechanism (nested CompoundModel treated as atomic non-separable block, falls through without recursing) = 1. G: the mechanism appears only inside the edit step's thought ('treating them as single, non-separable units'), no dedicated step = 0.5. Same compression pattern as Gemini's tree.</t>
  </si>
  <si>
    <t xml:space="preserve">Correct the computation</t>
  </si>
  <si>
    <t xml:space="preserve">C: step 6, edit with a concrete diff (isinstance guard in _coord_matrix). G: step 3, edit with a PLACEHOLDER patch ('... corrected code ...'). Both score 1: the step exists and targets the computation. Content quality is not the recall question. NOTE: neither proposes the reference one-line _cstack assignment; six artifacts now share that.</t>
  </si>
  <si>
    <t xml:space="preserve">Verify the reported case vs expected output</t>
  </si>
  <si>
    <t xml:space="preserve">C: step 10's authored test asserts the EXACT oracle matrix (third artifact to reason to the right expected value), but verification lives only inside an authored test the harness never runs, and no step verifies directly = 0.5. G: test asserts against a literal '...' placeholder, no expected value at all = 0.5 is generous; flip to 0 if you read strict.</t>
  </si>
  <si>
    <t xml:space="preserve">Preserve existing behavior</t>
  </si>
  <si>
    <t xml:space="preserve">C: step 8's stated purpose is 'confirm no existing test will break', preservation intent, and step 9 opens the suite = 1. G: no preservation language anywhere; its test steps exist only to add a new test = 0.</t>
  </si>
  <si>
    <t xml:space="preserve">Step</t>
  </si>
  <si>
    <t xml:space="preserve">CLAUDE traj: thought summary</t>
  </si>
  <si>
    <t xml:space="preserve">GEMINI traj: thought summary</t>
  </si>
  <si>
    <t xml:space="preserve">search separability_matrix</t>
  </si>
  <si>
    <t xml:space="preserve">done excluded from both denominators, same basis as the root exclusion: it restates completion and cannot score below 1. Denominators 10 and 6. Gemini steps 4-6 all exist solely to author a new test, ruling #2, = 0. Claude steps 8-9 score 1 because their stated purpose is preservation (GT-06 intent); only the authored test itself (step 10) scores 0.</t>
  </si>
  <si>
    <t xml:space="preserve">open separable.py</t>
  </si>
  <si>
    <t xml:space="preserve">targeted search _cstack/_separability</t>
  </si>
  <si>
    <t xml:space="preserve">edit fix, placeholder patch</t>
  </si>
  <si>
    <t xml:space="preserve">inspect CompoundModel class</t>
  </si>
  <si>
    <t xml:space="preserve">search test file (to add a test)</t>
  </si>
  <si>
    <t xml:space="preserve">identify the bug (dedicated step)</t>
  </si>
  <si>
    <t xml:space="preserve">open test file (to add a test)</t>
  </si>
  <si>
    <t xml:space="preserve">edit fix, concrete diff</t>
  </si>
  <si>
    <t xml:space="preserve">author a new test</t>
  </si>
  <si>
    <t xml:space="preserve">re-open to verify the edit</t>
  </si>
  <si>
    <t xml:space="preserve">find tests, confirm none break</t>
  </si>
  <si>
    <t xml:space="preserve">open the test file</t>
  </si>
  <si>
    <t xml:space="preserve">author a new regression test</t>
  </si>
  <si>
    <t xml:space="preserve">BY CONSTRUCTION, stated openly. The prompt fixes the schema ('exactly these fields'), so a model could not have added a parent field here, just as the structured request DICTATES parent_id and its 1.00 is equally by construction. Both prescribed cells measure what the REPRESENTATION affords, which is the claim: TC and AC are properties of representations, and the deployment question is which representation you choose. The schema is not ours: thought/action/observation is transcribed from SWE-agent and the Overthinking paper and matches our banked exec artifact field for field; adding a parent field would have made it no longer the state-of-practice format. The SPONTANEITY question has its own cell: prose had no field constraints, and Claude, free to do anything, invented ids and a dependency diagram and still produced no per-node retrievable lineage (ruling #12). Step order here is sequence, not lineage (Dr. Nasim, Jul 21). Verified by hand: steps carry exactly thought / action / expected_observation. (The runner's has_parent_field audit printed a false positive for Gemini; script bug, one-line fix, raw text unaffected.)</t>
  </si>
  <si>
    <t xml:space="preserve">No definer field exists anywhere in either artifact. Same zero, same reason, as every other unstructured cell.</t>
  </si>
  <si>
    <t xml:space="preserve">RULING, predicted in the runner before the call: every step carries a thought (11/11, 7/7), so reasoning IS anchored per step in this representation. Scored honestly at 1.00. CONSEQUENCE, state it plainly: EF alone does not separate the tree from the trajectory; the recoverability claim narrows to TC and AC, which hold without help. The alternative reading (EF requires LINEAGE-anchored reasoning) keeps 0.00 but makes EF redundant with TC. Flip if Dr. Nasim rules the other way.</t>
  </si>
  <si>
    <t xml:space="preserve">Same criterion-A scoring as prose: action verbs and the resource are present per step but no intent-level field carries them (0.5, 0.5), the path is stated in args but not fielded at intent level (0.5), no temporal, no context (0, 0). Identical 0.30, third representation to land there.</t>
  </si>
  <si>
    <t xml:space="preserve">THE HEADLINE FINDING OF THIS CELL, the format-content trade-off. Claude packed a REAL diff (nested quotes, escaped docstrings) into the JSON string field and BROKE the format: unterminated string at char 3540, inside the edit step, plus a code fence against instructions; parsed_steps is null and the plan survives only as raw text. Gemini kept the format clean by HOLLOWING the content: its patch is '... corrected code ...' and its test asserts against a literal '...'. Keep the content and break the format, or keep the format and lose the content. This is the Tam trade-off observed in our own data, at the exact boundary their paper names as future work (complex output structures). The tuple schema never faces the choice: no field carries a diff; executable content lives in the enforcer call, not in the representation.</t>
  </si>
  <si>
    <t xml:space="preserve">Where the three representations now stand: prose has no fields and no lineage. Trajectory has fields, no lineage. The tree has both. Trajectory closes the strawman objection (it IS the structured format agents use today) and still scores 0.00 on TC and AC. The claim this isolates: lineage-bearing structure, not structure, is what makes audit a traversal.</t>
  </si>
  <si>
    <t xml:space="preserve">Overhead: audit traversal (O(depth)) vs full-artifact reconstruction (O(n))</t>
  </si>
  <si>
    <t xml:space="preserve">Convention (locked, cross-domain): overhead reports PROCESSING TIME alongside storage bytes, defined once. The measured operation is SPINE's own deterministic step, model-independent: walk parent pointers from the deepest leaf to the root, collecting the chain. The baseline proxy is the CHEAPEST possible machine reconstruction, a single full-text scan of the artifact for target terms; the real baseline (a human or LLM reading the log against the plan) costs far more, so the comparison is conservative in the baseline's favor. Timings: Python 3, timeit best-of-7, this machine; indicative, not hardware claims. Re-derive: measure_overhead.py.</t>
  </si>
  <si>
    <t xml:space="preserve">operation</t>
  </si>
  <si>
    <t xml:space="preserve">complexity</t>
  </si>
  <si>
    <t xml:space="preserve">size</t>
  </si>
  <si>
    <t xml:space="preserve">time (microseconds)</t>
  </si>
  <si>
    <t xml:space="preserve">CLAUDE tree (17)</t>
  </si>
  <si>
    <t xml:space="preserve">pointer walk, deepest leaf P5.1 to root</t>
  </si>
  <si>
    <t xml:space="preserve">O(depth)</t>
  </si>
  <si>
    <t xml:space="preserve">5-node chain; 12,028 B file; 518 B mean/node</t>
  </si>
  <si>
    <t xml:space="preserve">the audit operation itself: chain recovered as data, no reading</t>
  </si>
  <si>
    <t xml:space="preserve">GEMINI tree (6)</t>
  </si>
  <si>
    <t xml:space="preserve">pointer walk, deepest leaf P5 to root</t>
  </si>
  <si>
    <t xml:space="preserve">5-node chain; 4,483 B file; 419 B mean/node</t>
  </si>
  <si>
    <t xml:space="preserve">identical time despite 3x tree-size difference: cost tracks DEPTH, not size, which is the O(depth) claim measured</t>
  </si>
  <si>
    <t xml:space="preserve">CLAUDE prose</t>
  </si>
  <si>
    <t xml:space="preserve">full-document scan for target terms</t>
  </si>
  <si>
    <t xml:space="preserve">O(n)</t>
  </si>
  <si>
    <t xml:space="preserve">9,229 chars</t>
  </si>
  <si>
    <t xml:space="preserve">146x the pointer walk, and the scan only FINDS lines; assembling lineage from them is additional work</t>
  </si>
  <si>
    <t xml:space="preserve">GEMINI prose</t>
  </si>
  <si>
    <t xml:space="preserve">full-document scan</t>
  </si>
  <si>
    <t xml:space="preserve">4,349 chars</t>
  </si>
  <si>
    <t xml:space="preserve">62x</t>
  </si>
  <si>
    <t xml:space="preserve">CLAUDE exec log</t>
  </si>
  <si>
    <t xml:space="preserve">full-log scan</t>
  </si>
  <si>
    <t xml:space="preserve">27,420 chars</t>
  </si>
  <si>
    <t xml:space="preserve">90x</t>
  </si>
  <si>
    <t xml:space="preserve">GEMINI exec log</t>
  </si>
  <si>
    <t xml:space="preserve">67,025 chars</t>
  </si>
  <si>
    <t xml:space="preserve">243x; cost grows with log length, the O(n) claim measured</t>
  </si>
  <si>
    <t xml:space="preserve">READ: both traversals land at ~0.4 microseconds and do not differ between a 17-node and a 6-node tree, because the walk costs depth, not size. Every reconstruction scan costs 60x to 240x more and grows with artifact length, and the scan is only step one of reconstruction. Storage: the tree costs 12,028 B where the same model's prose costs 13,194 B on disk, so on this instance the structured representation is not even a storage premium. Consistent with the paper's cross-domain convention (processing time + bytes, sub-millisecond on shallow trees).</t>
  </si>
</sst>
</file>

<file path=xl/styles.xml><?xml version="1.0" encoding="utf-8"?>
<styleSheet xmlns="http://schemas.openxmlformats.org/spreadsheetml/2006/main">
  <numFmts count="3">
    <numFmt numFmtId="164" formatCode="General"/>
    <numFmt numFmtId="165" formatCode="0.00"/>
    <numFmt numFmtId="166" formatCode="0.0"/>
  </numFmts>
  <fonts count="7">
    <font>
      <sz val="11"/>
      <color rgb="FF000000"/>
      <name val="Calibri"/>
      <family val="2"/>
      <charset val="1"/>
    </font>
    <font>
      <sz val="10"/>
      <name val="Arial"/>
      <family val="0"/>
    </font>
    <font>
      <sz val="10"/>
      <name val="Arial"/>
      <family val="0"/>
    </font>
    <font>
      <sz val="10"/>
      <name val="Arial"/>
      <family val="0"/>
    </font>
    <font>
      <b val="true"/>
      <sz val="13"/>
      <name val="Cambria"/>
      <family val="0"/>
      <charset val="1"/>
    </font>
    <font>
      <b val="true"/>
      <sz val="11"/>
      <name val="Cambria"/>
      <family val="0"/>
      <charset val="1"/>
    </font>
    <font>
      <b val="true"/>
      <sz val="12"/>
      <name val="Cambria"/>
      <family val="0"/>
      <charset val="1"/>
    </font>
  </fonts>
  <fills count="5">
    <fill>
      <patternFill patternType="none"/>
    </fill>
    <fill>
      <patternFill patternType="gray125"/>
    </fill>
    <fill>
      <patternFill patternType="solid">
        <fgColor rgb="FFFFE5CC"/>
        <bgColor rgb="FFFFF2CC"/>
      </patternFill>
    </fill>
    <fill>
      <patternFill patternType="solid">
        <fgColor rgb="FFFFF2CC"/>
        <bgColor rgb="FFFFE5CC"/>
      </patternFill>
    </fill>
    <fill>
      <patternFill patternType="solid">
        <fgColor rgb="FFE2EFDA"/>
        <bgColor rgb="FFFFF2CC"/>
      </patternFill>
    </fill>
  </fills>
  <borders count="2">
    <border diagonalUp="false" diagonalDown="false">
      <left/>
      <right/>
      <top/>
      <bottom/>
      <diagonal/>
    </border>
    <border diagonalUp="false" diagonalDown="false">
      <left style="thin">
        <color rgb="FF808080"/>
      </left>
      <right style="thin">
        <color rgb="FF808080"/>
      </right>
      <top style="thin">
        <color rgb="FF808080"/>
      </top>
      <bottom style="thin">
        <color rgb="FF808080"/>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8">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top" textRotation="0" wrapText="true" indent="0" shrinkToFit="false"/>
      <protection locked="true" hidden="false"/>
    </xf>
    <xf numFmtId="164" fontId="5" fillId="2" borderId="1" xfId="0" applyFont="true" applyBorder="true" applyAlignment="true" applyProtection="false">
      <alignment horizontal="general" vertical="top" textRotation="0" wrapText="true" indent="0" shrinkToFit="false"/>
      <protection locked="true" hidden="false"/>
    </xf>
    <xf numFmtId="164" fontId="0" fillId="0" borderId="1" xfId="0" applyFont="true" applyBorder="true" applyAlignment="true" applyProtection="false">
      <alignment horizontal="general" vertical="top" textRotation="0" wrapText="true" indent="0" shrinkToFit="false"/>
      <protection locked="true" hidden="false"/>
    </xf>
    <xf numFmtId="165" fontId="0" fillId="3" borderId="1" xfId="0" applyFont="false" applyBorder="true" applyAlignment="true" applyProtection="false">
      <alignment horizontal="general" vertical="top" textRotation="0" wrapText="true" indent="0" shrinkToFit="false"/>
      <protection locked="true" hidden="false"/>
    </xf>
    <xf numFmtId="165" fontId="0" fillId="3" borderId="1" xfId="0" applyFont="false" applyBorder="true" applyAlignment="false" applyProtection="false">
      <alignment horizontal="general" vertical="bottom" textRotation="0" wrapText="false" indent="0" shrinkToFit="false"/>
      <protection locked="true" hidden="false"/>
    </xf>
    <xf numFmtId="165" fontId="0" fillId="4" borderId="1" xfId="0" applyFont="false" applyBorder="true" applyAlignment="true" applyProtection="false">
      <alignment horizontal="general" vertical="top" textRotation="0" wrapText="true" indent="0" shrinkToFit="false"/>
      <protection locked="true" hidden="false"/>
    </xf>
    <xf numFmtId="165" fontId="0" fillId="4" borderId="1" xfId="0" applyFont="false" applyBorder="tru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6" fontId="0" fillId="3" borderId="1" xfId="0" applyFont="false" applyBorder="true" applyAlignment="true" applyProtection="false">
      <alignment horizontal="general" vertical="top" textRotation="0" wrapText="true" indent="0" shrinkToFit="false"/>
      <protection locked="true" hidden="false"/>
    </xf>
    <xf numFmtId="165" fontId="5" fillId="2" borderId="0" xfId="0" applyFont="true" applyBorder="false" applyAlignment="false" applyProtection="false">
      <alignment horizontal="general" vertical="bottom" textRotation="0" wrapText="false" indent="0" shrinkToFit="false"/>
      <protection locked="true" hidden="false"/>
    </xf>
    <xf numFmtId="164" fontId="0" fillId="3" borderId="1" xfId="0" applyFont="false" applyBorder="true" applyAlignment="true" applyProtection="false">
      <alignment horizontal="general" vertical="top" textRotation="0" wrapText="true" indent="0" shrinkToFit="false"/>
      <protection locked="true" hidden="false"/>
    </xf>
    <xf numFmtId="165" fontId="0" fillId="0" borderId="1" xfId="0" applyFont="false" applyBorder="true" applyAlignment="true" applyProtection="false">
      <alignment horizontal="general" vertical="top" textRotation="0" wrapText="true" indent="0" shrinkToFit="false"/>
      <protection locked="true" hidden="false"/>
    </xf>
    <xf numFmtId="164" fontId="5" fillId="0" borderId="1" xfId="0" applyFont="true" applyBorder="true" applyAlignment="true" applyProtection="false">
      <alignment horizontal="general" vertical="top" textRotation="0" wrapText="tru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0" fillId="0" borderId="1" xfId="0" applyFont="false" applyBorder="true" applyAlignment="false" applyProtection="false">
      <alignment horizontal="general" vertical="bottom" textRotation="0" wrapText="false" indent="0" shrinkToFit="false"/>
      <protection locked="true" hidden="false"/>
    </xf>
    <xf numFmtId="164" fontId="0" fillId="3" borderId="1" xfId="0" applyFont="false" applyBorder="tru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2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E2EFDA"/>
      <rgbColor rgb="FFFFFF99"/>
      <rgbColor rgb="FF99CCFF"/>
      <rgbColor rgb="FFFF99CC"/>
      <rgbColor rgb="FFCC99FF"/>
      <rgbColor rgb="FFFFE5CC"/>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worksheet" Target="worksheets/sheet2.xml"/><Relationship Id="rId4" Type="http://schemas.openxmlformats.org/officeDocument/2006/relationships/worksheet" Target="worksheets/sheet3.xml"/><Relationship Id="rId5" Type="http://schemas.openxmlformats.org/officeDocument/2006/relationships/worksheet" Target="worksheets/sheet4.xml"/><Relationship Id="rId6" Type="http://schemas.openxmlformats.org/officeDocument/2006/relationships/worksheet" Target="worksheets/sheet5.xml"/><Relationship Id="rId7" Type="http://schemas.openxmlformats.org/officeDocument/2006/relationships/worksheet" Target="worksheets/sheet6.xml"/><Relationship Id="rId8" Type="http://schemas.openxmlformats.org/officeDocument/2006/relationships/worksheet" Target="worksheets/sheet7.xml"/><Relationship Id="rId9" Type="http://schemas.openxmlformats.org/officeDocument/2006/relationships/worksheet" Target="worksheets/sheet8.xml"/><Relationship Id="rId10" Type="http://schemas.openxmlformats.org/officeDocument/2006/relationships/worksheet" Target="worksheets/sheet9.xml"/><Relationship Id="rId11" Type="http://schemas.openxmlformats.org/officeDocument/2006/relationships/worksheet" Target="worksheets/sheet10.xml"/><Relationship Id="rId12" Type="http://schemas.openxmlformats.org/officeDocument/2006/relationships/sharedStrings" Target="sharedStrings.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H25"/>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B60" activeCellId="0" sqref="B60"/>
    </sheetView>
  </sheetViews>
  <sheetFormatPr defaultColWidth="8.6875" defaultRowHeight="15" zeroHeight="false" outlineLevelRow="0" outlineLevelCol="0"/>
  <cols>
    <col collapsed="false" customWidth="true" hidden="false" outlineLevel="0" max="1" min="1" style="0" width="30.01"/>
    <col collapsed="false" customWidth="true" hidden="false" outlineLevel="0" max="5" min="2" style="0" width="18"/>
    <col collapsed="false" customWidth="true" hidden="false" outlineLevel="0" max="6" min="6" style="0" width="61.99"/>
  </cols>
  <sheetData>
    <row r="1" customFormat="false" ht="15" hidden="false" customHeight="false" outlineLevel="0" collapsed="false">
      <c r="A1" s="1" t="s">
        <v>0</v>
      </c>
    </row>
    <row r="2" customFormat="false" ht="15" hidden="false" customHeight="false" outlineLevel="0" collapsed="false">
      <c r="A2" s="2" t="s">
        <v>1</v>
      </c>
    </row>
    <row r="4" customFormat="false" ht="15" hidden="false" customHeight="false" outlineLevel="0" collapsed="false">
      <c r="A4" s="2" t="s">
        <v>2</v>
      </c>
    </row>
    <row r="6" customFormat="false" ht="15" hidden="false" customHeight="false" outlineLevel="0" collapsed="false">
      <c r="A6" s="3" t="s">
        <v>3</v>
      </c>
      <c r="B6" s="3" t="s">
        <v>4</v>
      </c>
      <c r="C6" s="3" t="s">
        <v>5</v>
      </c>
      <c r="D6" s="3" t="s">
        <v>6</v>
      </c>
      <c r="E6" s="3" t="s">
        <v>7</v>
      </c>
      <c r="F6" s="3" t="s">
        <v>8</v>
      </c>
      <c r="G6" s="3" t="s">
        <v>9</v>
      </c>
      <c r="H6" s="3" t="s">
        <v>10</v>
      </c>
    </row>
    <row r="7" customFormat="false" ht="15" hidden="false" customHeight="false" outlineLevel="0" collapsed="false">
      <c r="A7" s="4" t="s">
        <v>11</v>
      </c>
      <c r="B7" s="5" t="n">
        <f aca="false">Coverage_strict!C12</f>
        <v>1</v>
      </c>
      <c r="C7" s="5" t="n">
        <f aca="false">Coverage_strict!D12</f>
        <v>1</v>
      </c>
      <c r="D7" s="5" t="n">
        <f aca="false">Coverage_strict!E12</f>
        <v>1</v>
      </c>
      <c r="E7" s="5" t="n">
        <f aca="false">Coverage_strict!F12</f>
        <v>0.916666666666667</v>
      </c>
      <c r="F7" s="4" t="s">
        <v>12</v>
      </c>
      <c r="G7" s="6" t="n">
        <f aca="false">Plan_trajectory!C13</f>
        <v>0.75</v>
      </c>
      <c r="H7" s="6" t="n">
        <f aca="false">Plan_trajectory!D13</f>
        <v>0.5</v>
      </c>
    </row>
    <row r="8" customFormat="false" ht="15" hidden="false" customHeight="false" outlineLevel="0" collapsed="false">
      <c r="A8" s="4" t="s">
        <v>13</v>
      </c>
      <c r="B8" s="5" t="n">
        <f aca="false">Precision_unstr!F22</f>
        <v>0.666666666666667</v>
      </c>
      <c r="C8" s="5" t="n">
        <f aca="false">Precision_struct!F22</f>
        <v>0.6875</v>
      </c>
      <c r="D8" s="5" t="n">
        <f aca="false">Precision_unstr!I22</f>
        <v>1</v>
      </c>
      <c r="E8" s="5" t="n">
        <f aca="false">Precision_struct!I8</f>
        <v>1</v>
      </c>
      <c r="F8" s="4" t="s">
        <v>14</v>
      </c>
      <c r="G8" s="6" t="n">
        <f aca="false">Plan_trajectory!C27</f>
        <v>0.9</v>
      </c>
      <c r="H8" s="6" t="n">
        <f aca="false">Plan_trajectory!G27</f>
        <v>0.5</v>
      </c>
    </row>
    <row r="9" customFormat="false" ht="15" hidden="false" customHeight="false" outlineLevel="0" collapsed="false">
      <c r="A9" s="4" t="s">
        <v>15</v>
      </c>
      <c r="B9" s="7" t="n">
        <v>0</v>
      </c>
      <c r="C9" s="7" t="n">
        <v>1</v>
      </c>
      <c r="D9" s="7" t="n">
        <v>0</v>
      </c>
      <c r="E9" s="7" t="n">
        <v>1</v>
      </c>
      <c r="F9" s="4" t="s">
        <v>16</v>
      </c>
      <c r="G9" s="8" t="n">
        <v>0</v>
      </c>
      <c r="H9" s="8" t="n">
        <v>0</v>
      </c>
    </row>
    <row r="10" customFormat="false" ht="15" hidden="false" customHeight="false" outlineLevel="0" collapsed="false">
      <c r="A10" s="4" t="s">
        <v>17</v>
      </c>
      <c r="B10" s="7" t="n">
        <v>0</v>
      </c>
      <c r="C10" s="7" t="n">
        <v>1</v>
      </c>
      <c r="D10" s="7" t="n">
        <v>0</v>
      </c>
      <c r="E10" s="7" t="n">
        <v>1</v>
      </c>
      <c r="F10" s="4" t="s">
        <v>18</v>
      </c>
      <c r="G10" s="8" t="n">
        <v>0</v>
      </c>
      <c r="H10" s="8" t="n">
        <v>0</v>
      </c>
    </row>
    <row r="11" customFormat="false" ht="15" hidden="false" customHeight="false" outlineLevel="0" collapsed="false">
      <c r="A11" s="4" t="s">
        <v>19</v>
      </c>
      <c r="B11" s="7" t="n">
        <v>0</v>
      </c>
      <c r="C11" s="7" t="n">
        <v>1</v>
      </c>
      <c r="D11" s="7" t="n">
        <v>0</v>
      </c>
      <c r="E11" s="7" t="n">
        <v>1</v>
      </c>
      <c r="F11" s="4" t="s">
        <v>20</v>
      </c>
      <c r="G11" s="6" t="n">
        <v>1</v>
      </c>
      <c r="H11" s="6" t="n">
        <v>1</v>
      </c>
    </row>
    <row r="12" customFormat="false" ht="46.25" hidden="false" customHeight="false" outlineLevel="0" collapsed="false">
      <c r="A12" s="4" t="s">
        <v>21</v>
      </c>
      <c r="B12" s="7" t="n">
        <v>0.3</v>
      </c>
      <c r="C12" s="7" t="n">
        <v>1</v>
      </c>
      <c r="D12" s="7" t="n">
        <v>0.3</v>
      </c>
      <c r="E12" s="7" t="n">
        <v>1</v>
      </c>
      <c r="F12" s="4" t="s">
        <v>22</v>
      </c>
      <c r="G12" s="8" t="n">
        <v>0.3</v>
      </c>
      <c r="H12" s="8" t="n">
        <v>0.3</v>
      </c>
    </row>
    <row r="14" customFormat="false" ht="15" hidden="false" customHeight="false" outlineLevel="0" collapsed="false">
      <c r="A14" s="2" t="s">
        <v>23</v>
      </c>
    </row>
    <row r="16" customFormat="false" ht="15" hidden="false" customHeight="false" outlineLevel="0" collapsed="false">
      <c r="A16" s="2" t="s">
        <v>24</v>
      </c>
    </row>
    <row r="18" customFormat="false" ht="15" hidden="false" customHeight="false" outlineLevel="0" collapsed="false">
      <c r="A18" s="2" t="s">
        <v>25</v>
      </c>
    </row>
    <row r="20" customFormat="false" ht="15" hidden="false" customHeight="false" outlineLevel="0" collapsed="false">
      <c r="A20" s="9" t="s">
        <v>26</v>
      </c>
    </row>
    <row r="21" customFormat="false" ht="15" hidden="false" customHeight="false" outlineLevel="0" collapsed="false">
      <c r="A21" s="2" t="s">
        <v>27</v>
      </c>
    </row>
    <row r="23" customFormat="false" ht="15" hidden="false" customHeight="false" outlineLevel="0" collapsed="false">
      <c r="A23" s="2" t="s">
        <v>28</v>
      </c>
    </row>
    <row r="25" customFormat="false" ht="15" hidden="false" customHeight="false" outlineLevel="0" collapsed="false">
      <c r="A25" s="2" t="s">
        <v>29</v>
      </c>
    </row>
  </sheetData>
  <printOptions headings="false" gridLines="false" gridLinesSet="true" horizontalCentered="false" verticalCentered="false"/>
  <pageMargins left="0.75" right="0.75" top="1" bottom="1"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G1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875" defaultRowHeight="15" zeroHeight="false" outlineLevelRow="0" outlineLevelCol="0"/>
  <cols>
    <col collapsed="false" customWidth="true" hidden="false" outlineLevel="0" max="1" min="1" style="0" width="8"/>
    <col collapsed="false" customWidth="true" hidden="false" outlineLevel="0" max="2" min="2" style="0" width="44"/>
    <col collapsed="false" customWidth="true" hidden="false" outlineLevel="0" max="6" min="3" style="0" width="14.01"/>
    <col collapsed="false" customWidth="true" hidden="false" outlineLevel="0" max="7" min="7" style="0" width="74"/>
  </cols>
  <sheetData>
    <row r="1" customFormat="false" ht="15" hidden="false" customHeight="false" outlineLevel="0" collapsed="false">
      <c r="A1" s="9" t="s">
        <v>30</v>
      </c>
    </row>
    <row r="2" customFormat="false" ht="15" hidden="false" customHeight="false" outlineLevel="0" collapsed="false">
      <c r="A2" s="2" t="s">
        <v>31</v>
      </c>
    </row>
    <row r="4" customFormat="false" ht="15" hidden="false" customHeight="false" outlineLevel="0" collapsed="false">
      <c r="A4" s="3" t="s">
        <v>32</v>
      </c>
      <c r="B4" s="3" t="s">
        <v>33</v>
      </c>
      <c r="C4" s="3" t="s">
        <v>34</v>
      </c>
      <c r="D4" s="3" t="s">
        <v>35</v>
      </c>
      <c r="E4" s="3" t="s">
        <v>36</v>
      </c>
      <c r="F4" s="3" t="s">
        <v>37</v>
      </c>
      <c r="G4" s="3" t="s">
        <v>38</v>
      </c>
    </row>
    <row r="5" customFormat="false" ht="15" hidden="false" customHeight="false" outlineLevel="0" collapsed="false">
      <c r="A5" s="4" t="s">
        <v>39</v>
      </c>
      <c r="B5" s="4" t="s">
        <v>40</v>
      </c>
      <c r="C5" s="10" t="n">
        <v>1</v>
      </c>
      <c r="D5" s="10" t="n">
        <v>1</v>
      </c>
      <c r="E5" s="10" t="n">
        <v>1</v>
      </c>
      <c r="F5" s="10" t="n">
        <v>1</v>
      </c>
      <c r="G5" s="4" t="s">
        <v>41</v>
      </c>
    </row>
    <row r="6" customFormat="false" ht="15" hidden="false" customHeight="false" outlineLevel="0" collapsed="false">
      <c r="A6" s="4" t="s">
        <v>42</v>
      </c>
      <c r="B6" s="4" t="s">
        <v>43</v>
      </c>
      <c r="C6" s="10" t="n">
        <v>1</v>
      </c>
      <c r="D6" s="10" t="n">
        <v>1</v>
      </c>
      <c r="E6" s="10" t="n">
        <v>1</v>
      </c>
      <c r="F6" s="10" t="n">
        <v>1</v>
      </c>
      <c r="G6" s="4" t="s">
        <v>44</v>
      </c>
    </row>
    <row r="7" customFormat="false" ht="15" hidden="false" customHeight="false" outlineLevel="0" collapsed="false">
      <c r="A7" s="4" t="s">
        <v>45</v>
      </c>
      <c r="B7" s="4" t="s">
        <v>46</v>
      </c>
      <c r="C7" s="10" t="n">
        <v>1</v>
      </c>
      <c r="D7" s="10" t="n">
        <v>1</v>
      </c>
      <c r="E7" s="10" t="n">
        <v>1</v>
      </c>
      <c r="F7" s="10" t="n">
        <v>0.5</v>
      </c>
      <c r="G7" s="4" t="s">
        <v>47</v>
      </c>
    </row>
    <row r="8" customFormat="false" ht="15" hidden="false" customHeight="false" outlineLevel="0" collapsed="false">
      <c r="A8" s="4" t="s">
        <v>48</v>
      </c>
      <c r="B8" s="4" t="s">
        <v>49</v>
      </c>
      <c r="C8" s="10" t="n">
        <v>1</v>
      </c>
      <c r="D8" s="10" t="n">
        <v>1</v>
      </c>
      <c r="E8" s="10" t="n">
        <v>1</v>
      </c>
      <c r="F8" s="10" t="n">
        <v>1</v>
      </c>
      <c r="G8" s="4" t="s">
        <v>50</v>
      </c>
    </row>
    <row r="9" customFormat="false" ht="15" hidden="false" customHeight="false" outlineLevel="0" collapsed="false">
      <c r="A9" s="4" t="s">
        <v>51</v>
      </c>
      <c r="B9" s="4" t="s">
        <v>52</v>
      </c>
      <c r="C9" s="10" t="n">
        <v>1</v>
      </c>
      <c r="D9" s="10" t="n">
        <v>1</v>
      </c>
      <c r="E9" s="10" t="n">
        <v>1</v>
      </c>
      <c r="F9" s="10" t="n">
        <v>1</v>
      </c>
      <c r="G9" s="4" t="s">
        <v>53</v>
      </c>
    </row>
    <row r="10" customFormat="false" ht="15" hidden="false" customHeight="false" outlineLevel="0" collapsed="false">
      <c r="A10" s="4" t="s">
        <v>54</v>
      </c>
      <c r="B10" s="4" t="s">
        <v>55</v>
      </c>
      <c r="C10" s="10" t="n">
        <v>1</v>
      </c>
      <c r="D10" s="10" t="n">
        <v>1</v>
      </c>
      <c r="E10" s="10" t="n">
        <v>1</v>
      </c>
      <c r="F10" s="10" t="n">
        <v>1</v>
      </c>
      <c r="G10" s="4" t="s">
        <v>56</v>
      </c>
    </row>
    <row r="12" customFormat="false" ht="15" hidden="false" customHeight="false" outlineLevel="0" collapsed="false">
      <c r="B12" s="9" t="s">
        <v>57</v>
      </c>
      <c r="C12" s="11" t="n">
        <f aca="false">SUM(C5:C10)/6</f>
        <v>1</v>
      </c>
      <c r="D12" s="11" t="n">
        <f aca="false">SUM(D5:D10)/6</f>
        <v>1</v>
      </c>
      <c r="E12" s="11" t="n">
        <f aca="false">SUM(E5:E10)/6</f>
        <v>1</v>
      </c>
      <c r="F12" s="11" t="n">
        <f aca="false">SUM(F5:F10)/6</f>
        <v>0.916666666666667</v>
      </c>
    </row>
    <row r="14" customFormat="false" ht="15" hidden="false" customHeight="false" outlineLevel="0" collapsed="false">
      <c r="A14" s="2" t="s">
        <v>58</v>
      </c>
    </row>
    <row r="15" customFormat="false" ht="15" hidden="false" customHeight="false" outlineLevel="0" collapsed="false">
      <c r="A15" s="2" t="s">
        <v>59</v>
      </c>
    </row>
    <row r="17" customFormat="false" ht="15" hidden="false" customHeight="false" outlineLevel="0" collapsed="false">
      <c r="A17" s="2" t="s">
        <v>60</v>
      </c>
    </row>
  </sheetData>
  <printOptions headings="false" gridLines="false" gridLinesSet="true" horizontalCentered="false" verticalCentered="false"/>
  <pageMargins left="0.75" right="0.75" top="1" bottom="1"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I2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875" defaultRowHeight="15" zeroHeight="false" outlineLevelRow="0" outlineLevelCol="0"/>
  <cols>
    <col collapsed="false" customWidth="true" hidden="false" outlineLevel="0" max="1" min="1" style="0" width="10.99"/>
    <col collapsed="false" customWidth="true" hidden="false" outlineLevel="0" max="2" min="2" style="0" width="40"/>
    <col collapsed="false" customWidth="true" hidden="false" outlineLevel="0" max="3" min="3" style="0" width="6.01"/>
    <col collapsed="false" customWidth="true" hidden="false" outlineLevel="0" max="4" min="4" style="0" width="52"/>
    <col collapsed="false" customWidth="true" hidden="false" outlineLevel="0" max="5" min="5" style="0" width="2.99"/>
    <col collapsed="false" customWidth="true" hidden="false" outlineLevel="0" max="6" min="6" style="0" width="10.99"/>
    <col collapsed="false" customWidth="true" hidden="false" outlineLevel="0" max="7" min="7" style="0" width="34"/>
    <col collapsed="false" customWidth="true" hidden="false" outlineLevel="0" max="8" min="8" style="0" width="6.01"/>
    <col collapsed="false" customWidth="true" hidden="false" outlineLevel="0" max="9" min="9" style="0" width="45.99"/>
  </cols>
  <sheetData>
    <row r="1" customFormat="false" ht="15" hidden="false" customHeight="false" outlineLevel="0" collapsed="false">
      <c r="A1" s="9" t="s">
        <v>61</v>
      </c>
    </row>
    <row r="2" customFormat="false" ht="15" hidden="false" customHeight="false" outlineLevel="0" collapsed="false">
      <c r="A2" s="2" t="s">
        <v>62</v>
      </c>
    </row>
    <row r="4" customFormat="false" ht="15" hidden="false" customHeight="false" outlineLevel="0" collapsed="false">
      <c r="A4" s="3" t="s">
        <v>63</v>
      </c>
      <c r="B4" s="3" t="s">
        <v>64</v>
      </c>
      <c r="C4" s="3" t="s">
        <v>65</v>
      </c>
      <c r="D4" s="3" t="s">
        <v>66</v>
      </c>
      <c r="E4" s="3"/>
      <c r="F4" s="3" t="s">
        <v>67</v>
      </c>
      <c r="G4" s="3" t="s">
        <v>64</v>
      </c>
      <c r="H4" s="3" t="s">
        <v>65</v>
      </c>
      <c r="I4" s="3" t="s">
        <v>66</v>
      </c>
    </row>
    <row r="5" customFormat="false" ht="15" hidden="false" customHeight="false" outlineLevel="0" collapsed="false">
      <c r="A5" s="4" t="s">
        <v>68</v>
      </c>
      <c r="B5" s="4" t="s">
        <v>69</v>
      </c>
      <c r="C5" s="12"/>
      <c r="D5" s="4" t="s">
        <v>70</v>
      </c>
      <c r="F5" s="4" t="s">
        <v>68</v>
      </c>
      <c r="G5" s="4" t="s">
        <v>71</v>
      </c>
      <c r="H5" s="12"/>
      <c r="I5" s="4" t="s">
        <v>72</v>
      </c>
    </row>
    <row r="6" customFormat="false" ht="15" hidden="false" customHeight="false" outlineLevel="0" collapsed="false">
      <c r="A6" s="4" t="s">
        <v>73</v>
      </c>
      <c r="B6" s="4" t="s">
        <v>74</v>
      </c>
      <c r="C6" s="12" t="n">
        <v>1</v>
      </c>
      <c r="D6" s="4" t="s">
        <v>75</v>
      </c>
      <c r="F6" s="4" t="s">
        <v>73</v>
      </c>
      <c r="G6" s="4" t="s">
        <v>76</v>
      </c>
      <c r="H6" s="12" t="n">
        <v>1</v>
      </c>
      <c r="I6" s="4" t="s">
        <v>42</v>
      </c>
    </row>
    <row r="7" customFormat="false" ht="15" hidden="false" customHeight="false" outlineLevel="0" collapsed="false">
      <c r="A7" s="4" t="s">
        <v>77</v>
      </c>
      <c r="B7" s="4" t="s">
        <v>78</v>
      </c>
      <c r="C7" s="12" t="n">
        <v>1</v>
      </c>
      <c r="D7" s="4" t="s">
        <v>39</v>
      </c>
      <c r="F7" s="4" t="s">
        <v>77</v>
      </c>
      <c r="G7" s="4" t="s">
        <v>79</v>
      </c>
      <c r="H7" s="12" t="n">
        <v>1</v>
      </c>
      <c r="I7" s="4" t="s">
        <v>39</v>
      </c>
    </row>
    <row r="8" customFormat="false" ht="15" hidden="false" customHeight="false" outlineLevel="0" collapsed="false">
      <c r="A8" s="4" t="s">
        <v>80</v>
      </c>
      <c r="B8" s="4" t="s">
        <v>81</v>
      </c>
      <c r="C8" s="12" t="n">
        <v>1</v>
      </c>
      <c r="D8" s="4" t="s">
        <v>82</v>
      </c>
      <c r="F8" s="4" t="s">
        <v>83</v>
      </c>
      <c r="G8" s="4" t="s">
        <v>84</v>
      </c>
      <c r="H8" s="12" t="n">
        <v>1</v>
      </c>
      <c r="I8" s="13" t="n">
        <f aca="false">SUM(H6:H10)/COUNT(H6:H10)</f>
        <v>1</v>
      </c>
    </row>
    <row r="9" customFormat="false" ht="15" hidden="false" customHeight="false" outlineLevel="0" collapsed="false">
      <c r="A9" s="4" t="s">
        <v>83</v>
      </c>
      <c r="B9" s="4" t="s">
        <v>85</v>
      </c>
      <c r="C9" s="12" t="n">
        <v>1</v>
      </c>
      <c r="D9" s="4" t="s">
        <v>86</v>
      </c>
      <c r="F9" s="4" t="s">
        <v>87</v>
      </c>
      <c r="G9" s="4" t="s">
        <v>88</v>
      </c>
      <c r="H9" s="12" t="n">
        <v>1</v>
      </c>
      <c r="I9" s="4" t="s">
        <v>48</v>
      </c>
    </row>
    <row r="10" customFormat="false" ht="15" hidden="false" customHeight="false" outlineLevel="0" collapsed="false">
      <c r="A10" s="4" t="s">
        <v>89</v>
      </c>
      <c r="B10" s="4" t="s">
        <v>90</v>
      </c>
      <c r="C10" s="12" t="n">
        <v>1</v>
      </c>
      <c r="D10" s="4" t="s">
        <v>45</v>
      </c>
      <c r="F10" s="4" t="s">
        <v>91</v>
      </c>
      <c r="G10" s="4" t="s">
        <v>92</v>
      </c>
      <c r="H10" s="12" t="n">
        <v>1</v>
      </c>
      <c r="I10" s="4" t="s">
        <v>93</v>
      </c>
    </row>
    <row r="11" customFormat="false" ht="15" hidden="false" customHeight="false" outlineLevel="0" collapsed="false">
      <c r="A11" s="4" t="s">
        <v>94</v>
      </c>
      <c r="B11" s="4" t="s">
        <v>95</v>
      </c>
      <c r="C11" s="12" t="n">
        <v>1</v>
      </c>
      <c r="D11" s="4" t="s">
        <v>45</v>
      </c>
    </row>
    <row r="12" customFormat="false" ht="15" hidden="false" customHeight="false" outlineLevel="0" collapsed="false">
      <c r="A12" s="4" t="s">
        <v>87</v>
      </c>
      <c r="B12" s="4" t="s">
        <v>96</v>
      </c>
      <c r="C12" s="12" t="n">
        <v>1</v>
      </c>
      <c r="D12" s="4" t="s">
        <v>97</v>
      </c>
    </row>
    <row r="13" customFormat="false" ht="15" hidden="false" customHeight="false" outlineLevel="0" collapsed="false">
      <c r="A13" s="4" t="s">
        <v>98</v>
      </c>
      <c r="B13" s="4" t="s">
        <v>99</v>
      </c>
      <c r="C13" s="12" t="n">
        <v>1</v>
      </c>
      <c r="D13" s="4" t="s">
        <v>100</v>
      </c>
    </row>
    <row r="14" customFormat="false" ht="15" hidden="false" customHeight="false" outlineLevel="0" collapsed="false">
      <c r="A14" s="4" t="s">
        <v>101</v>
      </c>
      <c r="B14" s="4" t="s">
        <v>102</v>
      </c>
      <c r="C14" s="12" t="n">
        <v>0</v>
      </c>
      <c r="D14" s="4" t="s">
        <v>103</v>
      </c>
    </row>
    <row r="15" customFormat="false" ht="15" hidden="false" customHeight="false" outlineLevel="0" collapsed="false">
      <c r="A15" s="4" t="s">
        <v>91</v>
      </c>
      <c r="B15" s="4" t="s">
        <v>104</v>
      </c>
      <c r="C15" s="12" t="n">
        <v>1</v>
      </c>
      <c r="D15" s="4" t="s">
        <v>48</v>
      </c>
    </row>
    <row r="16" customFormat="false" ht="15" hidden="false" customHeight="false" outlineLevel="0" collapsed="false">
      <c r="A16" s="4" t="s">
        <v>105</v>
      </c>
      <c r="B16" s="4" t="s">
        <v>106</v>
      </c>
      <c r="C16" s="12" t="n">
        <v>1</v>
      </c>
      <c r="D16" s="4" t="s">
        <v>107</v>
      </c>
    </row>
    <row r="17" customFormat="false" ht="15" hidden="false" customHeight="false" outlineLevel="0" collapsed="false">
      <c r="A17" s="4" t="s">
        <v>108</v>
      </c>
      <c r="B17" s="4" t="s">
        <v>109</v>
      </c>
      <c r="C17" s="12" t="n">
        <v>0</v>
      </c>
      <c r="D17" s="4" t="s">
        <v>110</v>
      </c>
    </row>
    <row r="18" customFormat="false" ht="15" hidden="false" customHeight="false" outlineLevel="0" collapsed="false">
      <c r="A18" s="4" t="s">
        <v>111</v>
      </c>
      <c r="B18" s="4" t="s">
        <v>112</v>
      </c>
      <c r="C18" s="12" t="n">
        <v>1</v>
      </c>
      <c r="D18" s="4" t="s">
        <v>113</v>
      </c>
    </row>
    <row r="19" customFormat="false" ht="15" hidden="false" customHeight="false" outlineLevel="0" collapsed="false">
      <c r="A19" s="4" t="s">
        <v>114</v>
      </c>
      <c r="B19" s="4" t="s">
        <v>115</v>
      </c>
      <c r="C19" s="12" t="n">
        <v>0</v>
      </c>
      <c r="D19" s="4" t="s">
        <v>116</v>
      </c>
    </row>
    <row r="20" customFormat="false" ht="15" hidden="false" customHeight="false" outlineLevel="0" collapsed="false">
      <c r="A20" s="4" t="s">
        <v>117</v>
      </c>
      <c r="B20" s="4" t="s">
        <v>118</v>
      </c>
      <c r="C20" s="12" t="n">
        <v>0</v>
      </c>
      <c r="D20" s="4" t="s">
        <v>119</v>
      </c>
    </row>
    <row r="21" customFormat="false" ht="15" hidden="false" customHeight="false" outlineLevel="0" collapsed="false">
      <c r="A21" s="4" t="s">
        <v>120</v>
      </c>
      <c r="B21" s="4" t="s">
        <v>121</v>
      </c>
      <c r="C21" s="12" t="n">
        <v>0</v>
      </c>
      <c r="D21" s="4" t="s">
        <v>122</v>
      </c>
    </row>
    <row r="22" customFormat="false" ht="15" hidden="false" customHeight="false" outlineLevel="0" collapsed="false">
      <c r="B22" s="9" t="s">
        <v>123</v>
      </c>
      <c r="F22" s="11" t="n">
        <f aca="false">SUM(C6:C21)/COUNT(C6:C21)</f>
        <v>0.6875</v>
      </c>
      <c r="I22" s="11" t="n">
        <f aca="false">I8</f>
        <v>1</v>
      </c>
    </row>
    <row r="24" customFormat="false" ht="15" hidden="false" customHeight="false" outlineLevel="0" collapsed="false">
      <c r="A24" s="2" t="s">
        <v>124</v>
      </c>
    </row>
    <row r="25" customFormat="false" ht="15" hidden="false" customHeight="false" outlineLevel="0" collapsed="false">
      <c r="A25" s="2" t="s">
        <v>125</v>
      </c>
    </row>
  </sheetData>
  <printOptions headings="false" gridLines="false" gridLinesSet="true" horizontalCentered="false" verticalCentered="false"/>
  <pageMargins left="0.75" right="0.75" top="1" bottom="1"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I2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875" defaultRowHeight="15" zeroHeight="false" outlineLevelRow="0" outlineLevelCol="0"/>
  <cols>
    <col collapsed="false" customWidth="true" hidden="false" outlineLevel="0" max="1" min="1" style="0" width="13.01"/>
    <col collapsed="false" customWidth="true" hidden="false" outlineLevel="0" max="2" min="2" style="0" width="37.99"/>
    <col collapsed="false" customWidth="true" hidden="false" outlineLevel="0" max="3" min="3" style="0" width="6.01"/>
    <col collapsed="false" customWidth="true" hidden="false" outlineLevel="0" max="4" min="4" style="0" width="52"/>
    <col collapsed="false" customWidth="true" hidden="false" outlineLevel="0" max="5" min="5" style="0" width="2.99"/>
    <col collapsed="false" customWidth="true" hidden="false" outlineLevel="0" max="6" min="6" style="0" width="13.01"/>
    <col collapsed="false" customWidth="true" hidden="false" outlineLevel="0" max="7" min="7" style="0" width="34"/>
    <col collapsed="false" customWidth="true" hidden="false" outlineLevel="0" max="8" min="8" style="0" width="6.01"/>
    <col collapsed="false" customWidth="true" hidden="false" outlineLevel="0" max="9" min="9" style="0" width="45.99"/>
  </cols>
  <sheetData>
    <row r="1" customFormat="false" ht="15" hidden="false" customHeight="false" outlineLevel="0" collapsed="false">
      <c r="A1" s="9" t="s">
        <v>126</v>
      </c>
    </row>
    <row r="2" customFormat="false" ht="15" hidden="false" customHeight="false" outlineLevel="0" collapsed="false">
      <c r="A2" s="2" t="s">
        <v>127</v>
      </c>
    </row>
    <row r="4" customFormat="false" ht="15" hidden="false" customHeight="false" outlineLevel="0" collapsed="false">
      <c r="A4" s="3" t="s">
        <v>128</v>
      </c>
      <c r="B4" s="3" t="s">
        <v>129</v>
      </c>
      <c r="C4" s="3" t="s">
        <v>65</v>
      </c>
      <c r="D4" s="3" t="s">
        <v>66</v>
      </c>
      <c r="E4" s="3"/>
      <c r="F4" s="3" t="s">
        <v>130</v>
      </c>
      <c r="G4" s="3" t="s">
        <v>129</v>
      </c>
      <c r="H4" s="3" t="s">
        <v>65</v>
      </c>
      <c r="I4" s="3" t="s">
        <v>66</v>
      </c>
    </row>
    <row r="5" customFormat="false" ht="15" hidden="false" customHeight="false" outlineLevel="0" collapsed="false">
      <c r="A5" s="4" t="s">
        <v>131</v>
      </c>
      <c r="B5" s="4" t="s">
        <v>132</v>
      </c>
      <c r="C5" s="12" t="n">
        <v>1</v>
      </c>
      <c r="D5" s="4" t="s">
        <v>39</v>
      </c>
      <c r="F5" s="4" t="s">
        <v>133</v>
      </c>
      <c r="G5" s="4" t="s">
        <v>134</v>
      </c>
      <c r="H5" s="12" t="n">
        <v>1</v>
      </c>
      <c r="I5" s="4" t="s">
        <v>135</v>
      </c>
    </row>
    <row r="6" customFormat="false" ht="15" hidden="false" customHeight="false" outlineLevel="0" collapsed="false">
      <c r="A6" s="4" t="s">
        <v>136</v>
      </c>
      <c r="B6" s="4" t="s">
        <v>137</v>
      </c>
      <c r="C6" s="12" t="n">
        <v>1</v>
      </c>
      <c r="D6" s="4" t="s">
        <v>39</v>
      </c>
      <c r="F6" s="4" t="s">
        <v>138</v>
      </c>
      <c r="G6" s="4" t="s">
        <v>139</v>
      </c>
      <c r="H6" s="12" t="n">
        <v>1</v>
      </c>
      <c r="I6" s="4" t="s">
        <v>140</v>
      </c>
    </row>
    <row r="7" customFormat="false" ht="15" hidden="false" customHeight="false" outlineLevel="0" collapsed="false">
      <c r="A7" s="4" t="s">
        <v>80</v>
      </c>
      <c r="B7" s="4" t="s">
        <v>141</v>
      </c>
      <c r="C7" s="12" t="n">
        <v>1</v>
      </c>
      <c r="D7" s="4" t="s">
        <v>42</v>
      </c>
      <c r="F7" s="4" t="s">
        <v>142</v>
      </c>
      <c r="G7" s="4" t="s">
        <v>143</v>
      </c>
      <c r="H7" s="12" t="n">
        <v>1</v>
      </c>
      <c r="I7" s="4" t="s">
        <v>144</v>
      </c>
    </row>
    <row r="8" customFormat="false" ht="15" hidden="false" customHeight="false" outlineLevel="0" collapsed="false">
      <c r="A8" s="4" t="s">
        <v>145</v>
      </c>
      <c r="B8" s="4" t="s">
        <v>146</v>
      </c>
      <c r="C8" s="12" t="n">
        <v>1</v>
      </c>
      <c r="D8" s="4" t="s">
        <v>42</v>
      </c>
      <c r="F8" s="4" t="s">
        <v>147</v>
      </c>
      <c r="G8" s="4" t="s">
        <v>148</v>
      </c>
      <c r="H8" s="12" t="n">
        <v>1</v>
      </c>
      <c r="I8" s="4" t="s">
        <v>149</v>
      </c>
    </row>
    <row r="9" customFormat="false" ht="15" hidden="false" customHeight="false" outlineLevel="0" collapsed="false">
      <c r="A9" s="4" t="s">
        <v>150</v>
      </c>
      <c r="B9" s="4" t="s">
        <v>151</v>
      </c>
      <c r="C9" s="12" t="n">
        <v>1</v>
      </c>
      <c r="D9" s="4" t="s">
        <v>86</v>
      </c>
    </row>
    <row r="10" customFormat="false" ht="15" hidden="false" customHeight="false" outlineLevel="0" collapsed="false">
      <c r="A10" s="4" t="s">
        <v>89</v>
      </c>
      <c r="B10" s="4" t="s">
        <v>152</v>
      </c>
      <c r="C10" s="12" t="n">
        <v>1</v>
      </c>
      <c r="D10" s="4" t="s">
        <v>153</v>
      </c>
    </row>
    <row r="11" customFormat="false" ht="15" hidden="false" customHeight="false" outlineLevel="0" collapsed="false">
      <c r="A11" s="4" t="s">
        <v>94</v>
      </c>
      <c r="B11" s="4" t="s">
        <v>154</v>
      </c>
      <c r="C11" s="12" t="n">
        <v>1</v>
      </c>
      <c r="D11" s="4" t="s">
        <v>45</v>
      </c>
    </row>
    <row r="12" customFormat="false" ht="15" hidden="false" customHeight="false" outlineLevel="0" collapsed="false">
      <c r="A12" s="4" t="s">
        <v>155</v>
      </c>
      <c r="B12" s="4" t="s">
        <v>156</v>
      </c>
      <c r="C12" s="12" t="n">
        <v>1</v>
      </c>
      <c r="D12" s="4" t="s">
        <v>45</v>
      </c>
    </row>
    <row r="13" customFormat="false" ht="15" hidden="false" customHeight="false" outlineLevel="0" collapsed="false">
      <c r="A13" s="4" t="s">
        <v>98</v>
      </c>
      <c r="B13" s="4" t="s">
        <v>157</v>
      </c>
      <c r="C13" s="12" t="n">
        <v>1</v>
      </c>
      <c r="D13" s="4" t="s">
        <v>158</v>
      </c>
    </row>
    <row r="14" customFormat="false" ht="15" hidden="false" customHeight="false" outlineLevel="0" collapsed="false">
      <c r="A14" s="4" t="s">
        <v>101</v>
      </c>
      <c r="B14" s="4" t="s">
        <v>159</v>
      </c>
      <c r="C14" s="12" t="n">
        <v>1</v>
      </c>
      <c r="D14" s="4" t="s">
        <v>160</v>
      </c>
    </row>
    <row r="15" customFormat="false" ht="15" hidden="false" customHeight="false" outlineLevel="0" collapsed="false">
      <c r="A15" s="4" t="s">
        <v>161</v>
      </c>
      <c r="B15" s="4" t="s">
        <v>162</v>
      </c>
      <c r="C15" s="12" t="n">
        <v>1</v>
      </c>
      <c r="D15" s="4" t="s">
        <v>48</v>
      </c>
    </row>
    <row r="16" customFormat="false" ht="15" hidden="false" customHeight="false" outlineLevel="0" collapsed="false">
      <c r="A16" s="4" t="s">
        <v>163</v>
      </c>
      <c r="B16" s="4" t="s">
        <v>164</v>
      </c>
      <c r="C16" s="12" t="n">
        <v>0</v>
      </c>
      <c r="D16" s="4" t="s">
        <v>165</v>
      </c>
    </row>
    <row r="17" customFormat="false" ht="15" hidden="false" customHeight="false" outlineLevel="0" collapsed="false">
      <c r="A17" s="4" t="s">
        <v>105</v>
      </c>
      <c r="B17" s="4" t="s">
        <v>166</v>
      </c>
      <c r="C17" s="12" t="n">
        <v>0</v>
      </c>
      <c r="D17" s="4" t="s">
        <v>167</v>
      </c>
    </row>
    <row r="18" customFormat="false" ht="15" hidden="false" customHeight="false" outlineLevel="0" collapsed="false">
      <c r="A18" s="4" t="s">
        <v>168</v>
      </c>
      <c r="B18" s="4" t="s">
        <v>169</v>
      </c>
      <c r="C18" s="12" t="n">
        <v>1</v>
      </c>
      <c r="D18" s="4" t="s">
        <v>54</v>
      </c>
    </row>
    <row r="19" customFormat="false" ht="15" hidden="false" customHeight="false" outlineLevel="0" collapsed="false">
      <c r="A19" s="4" t="s">
        <v>170</v>
      </c>
      <c r="B19" s="4" t="s">
        <v>171</v>
      </c>
      <c r="C19" s="12" t="n">
        <v>0</v>
      </c>
      <c r="D19" s="4" t="s">
        <v>172</v>
      </c>
    </row>
    <row r="20" customFormat="false" ht="15" hidden="false" customHeight="false" outlineLevel="0" collapsed="false">
      <c r="A20" s="4" t="s">
        <v>111</v>
      </c>
      <c r="B20" s="4" t="s">
        <v>173</v>
      </c>
      <c r="C20" s="12" t="n">
        <v>0</v>
      </c>
      <c r="D20" s="4" t="s">
        <v>174</v>
      </c>
    </row>
    <row r="21" customFormat="false" ht="15" hidden="false" customHeight="false" outlineLevel="0" collapsed="false">
      <c r="A21" s="4" t="s">
        <v>175</v>
      </c>
      <c r="B21" s="4" t="s">
        <v>176</v>
      </c>
      <c r="C21" s="12" t="n">
        <v>0</v>
      </c>
      <c r="D21" s="4" t="s">
        <v>174</v>
      </c>
    </row>
    <row r="22" customFormat="false" ht="15" hidden="false" customHeight="false" outlineLevel="0" collapsed="false">
      <c r="A22" s="4" t="s">
        <v>177</v>
      </c>
      <c r="B22" s="14" t="s">
        <v>123</v>
      </c>
      <c r="C22" s="12" t="n">
        <v>0</v>
      </c>
      <c r="D22" s="4" t="s">
        <v>178</v>
      </c>
      <c r="F22" s="11" t="n">
        <f aca="false">SUM(C5:C22)/COUNT(C5:C22)</f>
        <v>0.666666666666667</v>
      </c>
      <c r="I22" s="11" t="n">
        <f aca="false">SUM(H5:H8)/COUNT(H5:H8)</f>
        <v>1</v>
      </c>
    </row>
    <row r="24" customFormat="false" ht="15" hidden="false" customHeight="false" outlineLevel="0" collapsed="false">
      <c r="A24" s="2" t="s">
        <v>179</v>
      </c>
    </row>
  </sheetData>
  <printOptions headings="false" gridLines="false" gridLinesSet="true" horizontalCentered="false" verticalCentered="false"/>
  <pageMargins left="0.75" right="0.75" top="1" bottom="1"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G1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875" defaultRowHeight="15" zeroHeight="false" outlineLevelRow="0" outlineLevelCol="0"/>
  <cols>
    <col collapsed="false" customWidth="true" hidden="false" outlineLevel="0" max="1" min="1" style="0" width="30.01"/>
    <col collapsed="false" customWidth="true" hidden="false" outlineLevel="0" max="2" min="2" style="0" width="14.01"/>
    <col collapsed="false" customWidth="true" hidden="false" outlineLevel="0" max="3" min="3" style="0" width="15"/>
    <col collapsed="false" customWidth="true" hidden="false" outlineLevel="0" max="6" min="4" style="0" width="8"/>
    <col collapsed="false" customWidth="true" hidden="false" outlineLevel="0" max="7" min="7" style="0" width="78"/>
  </cols>
  <sheetData>
    <row r="1" customFormat="false" ht="15" hidden="false" customHeight="false" outlineLevel="0" collapsed="false">
      <c r="A1" s="9" t="s">
        <v>180</v>
      </c>
    </row>
    <row r="2" customFormat="false" ht="15" hidden="false" customHeight="false" outlineLevel="0" collapsed="false">
      <c r="A2" s="2" t="s">
        <v>181</v>
      </c>
    </row>
    <row r="4" customFormat="false" ht="15" hidden="false" customHeight="false" outlineLevel="0" collapsed="false">
      <c r="A4" s="3" t="s">
        <v>182</v>
      </c>
      <c r="B4" s="3" t="s">
        <v>183</v>
      </c>
      <c r="C4" s="3" t="s">
        <v>184</v>
      </c>
      <c r="D4" s="3" t="s">
        <v>185</v>
      </c>
      <c r="E4" s="3" t="s">
        <v>186</v>
      </c>
      <c r="F4" s="3" t="s">
        <v>187</v>
      </c>
      <c r="G4" s="3" t="s">
        <v>188</v>
      </c>
    </row>
    <row r="5" customFormat="false" ht="15" hidden="false" customHeight="false" outlineLevel="0" collapsed="false">
      <c r="A5" s="4" t="s">
        <v>189</v>
      </c>
      <c r="B5" s="4" t="s">
        <v>190</v>
      </c>
      <c r="C5" s="4" t="s">
        <v>191</v>
      </c>
      <c r="D5" s="7" t="n">
        <v>1</v>
      </c>
      <c r="E5" s="7" t="n">
        <v>1</v>
      </c>
      <c r="F5" s="7" t="n">
        <v>1</v>
      </c>
      <c r="G5" s="4" t="s">
        <v>192</v>
      </c>
    </row>
    <row r="6" customFormat="false" ht="15" hidden="false" customHeight="false" outlineLevel="0" collapsed="false">
      <c r="A6" s="4" t="s">
        <v>193</v>
      </c>
      <c r="B6" s="4" t="s">
        <v>190</v>
      </c>
      <c r="C6" s="4" t="s">
        <v>194</v>
      </c>
      <c r="D6" s="7" t="n">
        <v>1</v>
      </c>
      <c r="E6" s="7" t="n">
        <v>1</v>
      </c>
      <c r="F6" s="7" t="n">
        <v>1</v>
      </c>
      <c r="G6" s="4" t="s">
        <v>195</v>
      </c>
    </row>
    <row r="7" customFormat="false" ht="15" hidden="false" customHeight="false" outlineLevel="0" collapsed="false">
      <c r="A7" s="4" t="s">
        <v>196</v>
      </c>
      <c r="B7" s="4" t="s">
        <v>190</v>
      </c>
      <c r="C7" s="4" t="s">
        <v>197</v>
      </c>
      <c r="D7" s="5" t="n">
        <v>0</v>
      </c>
      <c r="E7" s="5" t="n">
        <v>0</v>
      </c>
      <c r="F7" s="5" t="n">
        <v>0</v>
      </c>
      <c r="G7" s="4" t="s">
        <v>198</v>
      </c>
    </row>
    <row r="8" customFormat="false" ht="15" hidden="false" customHeight="false" outlineLevel="0" collapsed="false">
      <c r="A8" s="4" t="s">
        <v>199</v>
      </c>
      <c r="B8" s="4" t="s">
        <v>190</v>
      </c>
      <c r="C8" s="4" t="s">
        <v>200</v>
      </c>
      <c r="D8" s="7" t="n">
        <v>0</v>
      </c>
      <c r="E8" s="7" t="n">
        <v>0</v>
      </c>
      <c r="F8" s="7" t="n">
        <v>0</v>
      </c>
      <c r="G8" s="4" t="s">
        <v>201</v>
      </c>
    </row>
    <row r="9" customFormat="false" ht="15" hidden="false" customHeight="false" outlineLevel="0" collapsed="false">
      <c r="A9" s="4" t="s">
        <v>202</v>
      </c>
      <c r="B9" s="4" t="s">
        <v>203</v>
      </c>
      <c r="C9" s="4" t="s">
        <v>204</v>
      </c>
      <c r="D9" s="7" t="n">
        <v>0</v>
      </c>
      <c r="E9" s="7" t="n">
        <v>0</v>
      </c>
      <c r="F9" s="7" t="n">
        <v>0</v>
      </c>
      <c r="G9" s="4" t="s">
        <v>205</v>
      </c>
    </row>
    <row r="10" customFormat="false" ht="15" hidden="false" customHeight="false" outlineLevel="0" collapsed="false">
      <c r="A10" s="4" t="s">
        <v>206</v>
      </c>
      <c r="B10" s="4" t="s">
        <v>203</v>
      </c>
      <c r="C10" s="4" t="s">
        <v>207</v>
      </c>
      <c r="D10" s="7" t="n">
        <v>0</v>
      </c>
      <c r="E10" s="7" t="n">
        <v>0</v>
      </c>
      <c r="F10" s="7" t="n">
        <v>0</v>
      </c>
      <c r="G10" s="4" t="s">
        <v>208</v>
      </c>
    </row>
    <row r="11" customFormat="false" ht="15" hidden="false" customHeight="false" outlineLevel="0" collapsed="false">
      <c r="A11" s="4" t="s">
        <v>209</v>
      </c>
      <c r="B11" s="4" t="s">
        <v>190</v>
      </c>
      <c r="C11" s="4" t="s">
        <v>210</v>
      </c>
      <c r="D11" s="7" t="n">
        <v>0</v>
      </c>
      <c r="E11" s="7" t="n">
        <v>0</v>
      </c>
      <c r="F11" s="5" t="n">
        <v>1</v>
      </c>
      <c r="G11" s="4" t="s">
        <v>211</v>
      </c>
    </row>
    <row r="12" customFormat="false" ht="15" hidden="false" customHeight="false" outlineLevel="0" collapsed="false">
      <c r="A12" s="4" t="s">
        <v>212</v>
      </c>
      <c r="B12" s="4" t="s">
        <v>190</v>
      </c>
      <c r="C12" s="4" t="s">
        <v>213</v>
      </c>
      <c r="D12" s="7" t="n">
        <v>0</v>
      </c>
      <c r="E12" s="7" t="n">
        <v>0</v>
      </c>
      <c r="F12" s="5" t="n">
        <v>1</v>
      </c>
      <c r="G12" s="4" t="s">
        <v>214</v>
      </c>
    </row>
    <row r="14" customFormat="false" ht="15" hidden="false" customHeight="false" outlineLevel="0" collapsed="false">
      <c r="A14" s="2" t="s">
        <v>215</v>
      </c>
    </row>
  </sheetData>
  <printOptions headings="false" gridLines="false" gridLinesSet="true" horizontalCentered="false" verticalCentered="false"/>
  <pageMargins left="0.75" right="0.75" top="1" bottom="1"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F1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875" defaultRowHeight="15" zeroHeight="false" outlineLevelRow="0" outlineLevelCol="0"/>
  <cols>
    <col collapsed="false" customWidth="true" hidden="false" outlineLevel="0" max="5" min="1" style="0" width="14.01"/>
    <col collapsed="false" customWidth="true" hidden="false" outlineLevel="0" max="6" min="6" style="0" width="86"/>
  </cols>
  <sheetData>
    <row r="1" customFormat="false" ht="15" hidden="false" customHeight="false" outlineLevel="0" collapsed="false">
      <c r="A1" s="9" t="s">
        <v>216</v>
      </c>
    </row>
    <row r="2" customFormat="false" ht="15" hidden="false" customHeight="false" outlineLevel="0" collapsed="false">
      <c r="A2" s="2" t="s">
        <v>217</v>
      </c>
    </row>
    <row r="4" customFormat="false" ht="15" hidden="false" customHeight="false" outlineLevel="0" collapsed="false">
      <c r="A4" s="3" t="s">
        <v>218</v>
      </c>
      <c r="B4" s="3" t="s">
        <v>34</v>
      </c>
      <c r="C4" s="3" t="s">
        <v>35</v>
      </c>
      <c r="D4" s="3" t="s">
        <v>36</v>
      </c>
      <c r="E4" s="3" t="s">
        <v>37</v>
      </c>
      <c r="F4" s="3" t="s">
        <v>38</v>
      </c>
    </row>
    <row r="5" customFormat="false" ht="15" hidden="false" customHeight="false" outlineLevel="0" collapsed="false">
      <c r="A5" s="4" t="s">
        <v>219</v>
      </c>
      <c r="B5" s="10" t="n">
        <v>0.5</v>
      </c>
      <c r="C5" s="10" t="n">
        <v>1</v>
      </c>
      <c r="D5" s="10" t="n">
        <v>0.5</v>
      </c>
      <c r="E5" s="10" t="n">
        <v>1</v>
      </c>
      <c r="F5" s="4" t="s">
        <v>220</v>
      </c>
    </row>
    <row r="6" customFormat="false" ht="15" hidden="false" customHeight="false" outlineLevel="0" collapsed="false">
      <c r="A6" s="4" t="s">
        <v>221</v>
      </c>
      <c r="B6" s="10" t="n">
        <v>0.5</v>
      </c>
      <c r="C6" s="10" t="n">
        <v>1</v>
      </c>
      <c r="D6" s="10" t="n">
        <v>0.5</v>
      </c>
      <c r="E6" s="10" t="n">
        <v>1</v>
      </c>
      <c r="F6" s="4" t="s">
        <v>222</v>
      </c>
    </row>
    <row r="7" customFormat="false" ht="15" hidden="false" customHeight="false" outlineLevel="0" collapsed="false">
      <c r="A7" s="4" t="s">
        <v>223</v>
      </c>
      <c r="B7" s="10" t="n">
        <v>0.5</v>
      </c>
      <c r="C7" s="10" t="n">
        <v>1</v>
      </c>
      <c r="D7" s="10" t="n">
        <v>0.5</v>
      </c>
      <c r="E7" s="10" t="n">
        <v>1</v>
      </c>
      <c r="F7" s="4" t="s">
        <v>224</v>
      </c>
    </row>
    <row r="8" customFormat="false" ht="15" hidden="false" customHeight="false" outlineLevel="0" collapsed="false">
      <c r="A8" s="4" t="s">
        <v>225</v>
      </c>
      <c r="B8" s="10" t="n">
        <v>0</v>
      </c>
      <c r="C8" s="10" t="n">
        <v>1</v>
      </c>
      <c r="D8" s="10" t="n">
        <v>0</v>
      </c>
      <c r="E8" s="10" t="n">
        <v>1</v>
      </c>
      <c r="F8" s="4" t="s">
        <v>226</v>
      </c>
    </row>
    <row r="9" customFormat="false" ht="15" hidden="false" customHeight="false" outlineLevel="0" collapsed="false">
      <c r="A9" s="4" t="s">
        <v>227</v>
      </c>
      <c r="B9" s="10" t="n">
        <v>0</v>
      </c>
      <c r="C9" s="10" t="n">
        <v>1</v>
      </c>
      <c r="D9" s="10" t="n">
        <v>0</v>
      </c>
      <c r="E9" s="10" t="n">
        <v>1</v>
      </c>
      <c r="F9" s="4" t="s">
        <v>228</v>
      </c>
    </row>
    <row r="11" customFormat="false" ht="15" hidden="false" customHeight="false" outlineLevel="0" collapsed="false">
      <c r="A11" s="9" t="s">
        <v>229</v>
      </c>
      <c r="B11" s="11" t="n">
        <f aca="false">SUM(B5:B9)/5</f>
        <v>0.3</v>
      </c>
      <c r="C11" s="11" t="n">
        <f aca="false">SUM(C5:C9)/5</f>
        <v>1</v>
      </c>
      <c r="D11" s="11" t="n">
        <f aca="false">SUM(D5:D9)/5</f>
        <v>0.3</v>
      </c>
      <c r="E11" s="11" t="n">
        <f aca="false">SUM(E5:E9)/5</f>
        <v>1</v>
      </c>
    </row>
    <row r="13" customFormat="false" ht="15" hidden="false" customHeight="false" outlineLevel="0" collapsed="false">
      <c r="A13" s="2" t="s">
        <v>230</v>
      </c>
    </row>
  </sheetData>
  <printOptions headings="false" gridLines="false" gridLinesSet="true" horizontalCentered="false" verticalCentered="false"/>
  <pageMargins left="0.75" right="0.75" top="1" bottom="1"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D1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875" defaultRowHeight="15" zeroHeight="false" outlineLevelRow="0" outlineLevelCol="0"/>
  <cols>
    <col collapsed="false" customWidth="true" hidden="false" outlineLevel="0" max="1" min="1" style="0" width="26"/>
    <col collapsed="false" customWidth="true" hidden="false" outlineLevel="0" max="3" min="2" style="0" width="16"/>
    <col collapsed="false" customWidth="true" hidden="false" outlineLevel="0" max="4" min="4" style="0" width="87.99"/>
  </cols>
  <sheetData>
    <row r="1" customFormat="false" ht="15" hidden="false" customHeight="false" outlineLevel="0" collapsed="false">
      <c r="A1" s="9" t="s">
        <v>231</v>
      </c>
    </row>
    <row r="2" customFormat="false" ht="15" hidden="false" customHeight="false" outlineLevel="0" collapsed="false">
      <c r="A2" s="2" t="s">
        <v>232</v>
      </c>
    </row>
    <row r="4" customFormat="false" ht="15" hidden="false" customHeight="false" outlineLevel="0" collapsed="false">
      <c r="A4" s="3" t="s">
        <v>233</v>
      </c>
      <c r="B4" s="3" t="s">
        <v>234</v>
      </c>
      <c r="C4" s="3" t="s">
        <v>235</v>
      </c>
      <c r="D4" s="3" t="s">
        <v>236</v>
      </c>
    </row>
    <row r="5" customFormat="false" ht="15" hidden="false" customHeight="false" outlineLevel="0" collapsed="false">
      <c r="A5" s="4" t="s">
        <v>237</v>
      </c>
      <c r="B5" s="4" t="s">
        <v>238</v>
      </c>
      <c r="C5" s="4" t="s">
        <v>239</v>
      </c>
      <c r="D5" s="4" t="s">
        <v>240</v>
      </c>
    </row>
    <row r="6" customFormat="false" ht="15" hidden="false" customHeight="false" outlineLevel="0" collapsed="false">
      <c r="A6" s="4" t="s">
        <v>241</v>
      </c>
      <c r="B6" s="4" t="s">
        <v>242</v>
      </c>
      <c r="C6" s="4" t="s">
        <v>243</v>
      </c>
      <c r="D6" s="4" t="s">
        <v>244</v>
      </c>
    </row>
    <row r="7" customFormat="false" ht="15" hidden="false" customHeight="false" outlineLevel="0" collapsed="false">
      <c r="A7" s="4" t="s">
        <v>245</v>
      </c>
      <c r="B7" s="4" t="s">
        <v>246</v>
      </c>
      <c r="C7" s="4" t="s">
        <v>247</v>
      </c>
      <c r="D7" s="4" t="s">
        <v>248</v>
      </c>
    </row>
    <row r="8" customFormat="false" ht="15" hidden="false" customHeight="false" outlineLevel="0" collapsed="false">
      <c r="A8" s="4" t="s">
        <v>249</v>
      </c>
      <c r="B8" s="4" t="s">
        <v>250</v>
      </c>
      <c r="C8" s="4" t="s">
        <v>251</v>
      </c>
      <c r="D8" s="4"/>
    </row>
    <row r="9" customFormat="false" ht="15" hidden="false" customHeight="false" outlineLevel="0" collapsed="false">
      <c r="A9" s="4" t="s">
        <v>252</v>
      </c>
      <c r="B9" s="4" t="s">
        <v>253</v>
      </c>
      <c r="C9" s="4" t="s">
        <v>254</v>
      </c>
      <c r="D9" s="4"/>
    </row>
    <row r="10" customFormat="false" ht="15" hidden="false" customHeight="false" outlineLevel="0" collapsed="false">
      <c r="A10" s="4" t="s">
        <v>255</v>
      </c>
      <c r="B10" s="4" t="s">
        <v>256</v>
      </c>
      <c r="C10" s="4" t="s">
        <v>257</v>
      </c>
      <c r="D10" s="4" t="s">
        <v>258</v>
      </c>
    </row>
    <row r="11" customFormat="false" ht="15" hidden="false" customHeight="false" outlineLevel="0" collapsed="false">
      <c r="A11" s="4" t="s">
        <v>259</v>
      </c>
      <c r="B11" s="4" t="s">
        <v>260</v>
      </c>
      <c r="C11" s="4" t="s">
        <v>261</v>
      </c>
      <c r="D11" s="4" t="s">
        <v>262</v>
      </c>
    </row>
    <row r="12" customFormat="false" ht="15" hidden="false" customHeight="false" outlineLevel="0" collapsed="false">
      <c r="A12" s="4" t="s">
        <v>263</v>
      </c>
      <c r="B12" s="4" t="s">
        <v>257</v>
      </c>
      <c r="C12" s="4" t="s">
        <v>264</v>
      </c>
      <c r="D12" s="4" t="s">
        <v>265</v>
      </c>
    </row>
    <row r="14" customFormat="false" ht="15" hidden="false" customHeight="false" outlineLevel="0" collapsed="false">
      <c r="A14" s="2" t="s">
        <v>266</v>
      </c>
    </row>
  </sheetData>
  <printOptions headings="false" gridLines="false" gridLinesSet="true" horizontalCentered="false" verticalCentered="false"/>
  <pageMargins left="0.75" right="0.75" top="1" bottom="1"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K1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875" defaultRowHeight="15" zeroHeight="false" outlineLevelRow="0" outlineLevelCol="0"/>
  <cols>
    <col collapsed="false" customWidth="true" hidden="false" outlineLevel="0" max="1" min="1" style="0" width="11.99"/>
    <col collapsed="false" customWidth="true" hidden="false" outlineLevel="0" max="3" min="2" style="0" width="34"/>
    <col collapsed="false" customWidth="true" hidden="false" outlineLevel="0" max="4" min="4" style="0" width="32"/>
    <col collapsed="false" customWidth="true" hidden="false" outlineLevel="0" max="6" min="5" style="0" width="45.99"/>
    <col collapsed="false" customWidth="true" hidden="false" outlineLevel="0" max="10" min="7" style="0" width="6.01"/>
    <col collapsed="false" customWidth="true" hidden="false" outlineLevel="0" max="11" min="11" style="0" width="50"/>
  </cols>
  <sheetData>
    <row r="1" customFormat="false" ht="15" hidden="false" customHeight="false" outlineLevel="0" collapsed="false">
      <c r="A1" s="15" t="s">
        <v>267</v>
      </c>
    </row>
    <row r="2" customFormat="false" ht="15" hidden="false" customHeight="false" outlineLevel="0" collapsed="false">
      <c r="A2" s="2" t="s">
        <v>268</v>
      </c>
    </row>
    <row r="4" customFormat="false" ht="15" hidden="false" customHeight="false" outlineLevel="0" collapsed="false">
      <c r="A4" s="3" t="s">
        <v>218</v>
      </c>
      <c r="B4" s="3" t="s">
        <v>269</v>
      </c>
      <c r="C4" s="3" t="s">
        <v>35</v>
      </c>
      <c r="D4" s="3" t="s">
        <v>270</v>
      </c>
      <c r="E4" s="3" t="s">
        <v>271</v>
      </c>
      <c r="F4" s="3" t="s">
        <v>272</v>
      </c>
      <c r="G4" s="3" t="s">
        <v>273</v>
      </c>
      <c r="H4" s="3" t="s">
        <v>274</v>
      </c>
      <c r="I4" s="3" t="s">
        <v>275</v>
      </c>
      <c r="J4" s="3" t="s">
        <v>276</v>
      </c>
      <c r="K4" s="3" t="s">
        <v>277</v>
      </c>
    </row>
    <row r="5" customFormat="false" ht="15" hidden="false" customHeight="false" outlineLevel="0" collapsed="false">
      <c r="A5" s="4" t="s">
        <v>219</v>
      </c>
      <c r="B5" s="4" t="s">
        <v>278</v>
      </c>
      <c r="C5" s="4" t="s">
        <v>279</v>
      </c>
      <c r="D5" s="4" t="s">
        <v>280</v>
      </c>
      <c r="E5" s="4" t="s">
        <v>281</v>
      </c>
      <c r="F5" s="4" t="s">
        <v>282</v>
      </c>
      <c r="G5" s="10" t="n">
        <v>0.5</v>
      </c>
      <c r="H5" s="10" t="n">
        <v>0.5</v>
      </c>
      <c r="I5" s="10" t="n">
        <v>1</v>
      </c>
      <c r="J5" s="10" t="n">
        <v>1</v>
      </c>
      <c r="K5" s="4" t="s">
        <v>283</v>
      </c>
    </row>
    <row r="6" customFormat="false" ht="15" hidden="false" customHeight="false" outlineLevel="0" collapsed="false">
      <c r="A6" s="4" t="s">
        <v>221</v>
      </c>
      <c r="B6" s="4" t="s">
        <v>284</v>
      </c>
      <c r="C6" s="4" t="s">
        <v>285</v>
      </c>
      <c r="D6" s="4" t="s">
        <v>286</v>
      </c>
      <c r="E6" s="4" t="s">
        <v>287</v>
      </c>
      <c r="F6" s="4" t="s">
        <v>288</v>
      </c>
      <c r="G6" s="10" t="n">
        <v>0.5</v>
      </c>
      <c r="H6" s="10" t="n">
        <v>0.5</v>
      </c>
      <c r="I6" s="10" t="n">
        <v>1</v>
      </c>
      <c r="J6" s="10" t="n">
        <v>1</v>
      </c>
      <c r="K6" s="4" t="s">
        <v>289</v>
      </c>
    </row>
    <row r="7" customFormat="false" ht="15" hidden="false" customHeight="false" outlineLevel="0" collapsed="false">
      <c r="A7" s="4" t="s">
        <v>223</v>
      </c>
      <c r="B7" s="4" t="s">
        <v>290</v>
      </c>
      <c r="C7" s="4" t="s">
        <v>291</v>
      </c>
      <c r="D7" s="4" t="s">
        <v>292</v>
      </c>
      <c r="E7" s="4" t="s">
        <v>293</v>
      </c>
      <c r="F7" s="4" t="s">
        <v>294</v>
      </c>
      <c r="G7" s="10" t="n">
        <v>0.5</v>
      </c>
      <c r="H7" s="10" t="n">
        <v>0.5</v>
      </c>
      <c r="I7" s="10" t="n">
        <v>1</v>
      </c>
      <c r="J7" s="10" t="n">
        <v>1</v>
      </c>
      <c r="K7" s="4" t="s">
        <v>295</v>
      </c>
    </row>
    <row r="8" customFormat="false" ht="15" hidden="false" customHeight="false" outlineLevel="0" collapsed="false">
      <c r="A8" s="4" t="s">
        <v>225</v>
      </c>
      <c r="B8" s="4" t="s">
        <v>296</v>
      </c>
      <c r="C8" s="4" t="s">
        <v>297</v>
      </c>
      <c r="D8" s="4" t="s">
        <v>297</v>
      </c>
      <c r="E8" s="4" t="s">
        <v>298</v>
      </c>
      <c r="F8" s="4" t="s">
        <v>299</v>
      </c>
      <c r="G8" s="10" t="n">
        <v>0</v>
      </c>
      <c r="H8" s="10" t="n">
        <v>0</v>
      </c>
      <c r="I8" s="10" t="n">
        <v>1</v>
      </c>
      <c r="J8" s="10" t="n">
        <v>1</v>
      </c>
      <c r="K8" s="4" t="s">
        <v>300</v>
      </c>
    </row>
    <row r="9" customFormat="false" ht="15" hidden="false" customHeight="false" outlineLevel="0" collapsed="false">
      <c r="A9" s="4" t="s">
        <v>227</v>
      </c>
      <c r="B9" s="4" t="s">
        <v>301</v>
      </c>
      <c r="C9" s="4" t="s">
        <v>302</v>
      </c>
      <c r="D9" s="4" t="s">
        <v>303</v>
      </c>
      <c r="E9" s="4" t="s">
        <v>304</v>
      </c>
      <c r="F9" s="4" t="s">
        <v>305</v>
      </c>
      <c r="G9" s="10" t="n">
        <v>0</v>
      </c>
      <c r="H9" s="10" t="n">
        <v>0</v>
      </c>
      <c r="I9" s="10" t="n">
        <v>1</v>
      </c>
      <c r="J9" s="10" t="n">
        <v>1</v>
      </c>
      <c r="K9" s="4" t="s">
        <v>306</v>
      </c>
    </row>
    <row r="11" customFormat="false" ht="15" hidden="false" customHeight="false" outlineLevel="0" collapsed="false">
      <c r="A11" s="9" t="s">
        <v>229</v>
      </c>
      <c r="G11" s="11" t="n">
        <f aca="false">SUM(G5:G9)/5</f>
        <v>0.3</v>
      </c>
      <c r="H11" s="11" t="n">
        <f aca="false">SUM(H5:H9)/5</f>
        <v>0.3</v>
      </c>
      <c r="I11" s="11" t="n">
        <f aca="false">SUM(I5:I9)/5</f>
        <v>1</v>
      </c>
      <c r="J11" s="11" t="n">
        <f aca="false">SUM(J5:J9)/5</f>
        <v>1</v>
      </c>
    </row>
    <row r="13" customFormat="false" ht="15" hidden="false" customHeight="false" outlineLevel="0" collapsed="false">
      <c r="A13" s="2" t="s">
        <v>307</v>
      </c>
    </row>
    <row r="15" customFormat="false" ht="15" hidden="false" customHeight="false" outlineLevel="0" collapsed="false">
      <c r="A15" s="2" t="s">
        <v>308</v>
      </c>
    </row>
  </sheetData>
  <printOptions headings="false" gridLines="false" gridLinesSet="true" horizontalCentered="false" verticalCentered="false"/>
  <pageMargins left="0.75" right="0.75" top="1" bottom="1"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H3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875" defaultRowHeight="15" zeroHeight="false" outlineLevelRow="0" outlineLevelCol="0"/>
  <cols>
    <col collapsed="false" customWidth="true" hidden="false" outlineLevel="0" max="1" min="1" style="0" width="14.01"/>
    <col collapsed="false" customWidth="true" hidden="false" outlineLevel="0" max="3" min="2" style="0" width="13.01"/>
    <col collapsed="false" customWidth="true" hidden="false" outlineLevel="0" max="4" min="4" style="0" width="110"/>
    <col collapsed="false" customWidth="true" hidden="false" outlineLevel="0" max="5" min="5" style="0" width="8"/>
    <col collapsed="false" customWidth="true" hidden="false" outlineLevel="0" max="6" min="6" style="0" width="40"/>
    <col collapsed="false" customWidth="true" hidden="false" outlineLevel="0" max="7" min="7" style="0" width="6.01"/>
    <col collapsed="false" customWidth="true" hidden="false" outlineLevel="0" max="8" min="8" style="0" width="44"/>
  </cols>
  <sheetData>
    <row r="1" customFormat="false" ht="15" hidden="false" customHeight="false" outlineLevel="0" collapsed="false">
      <c r="A1" s="15" t="s">
        <v>309</v>
      </c>
    </row>
    <row r="2" customFormat="false" ht="15" hidden="false" customHeight="false" outlineLevel="0" collapsed="false">
      <c r="A2" s="2" t="s">
        <v>310</v>
      </c>
    </row>
    <row r="3" customFormat="false" ht="15" hidden="false" customHeight="false" outlineLevel="0" collapsed="false">
      <c r="A3" s="2" t="s">
        <v>311</v>
      </c>
    </row>
    <row r="5" customFormat="false" ht="15" hidden="false" customHeight="false" outlineLevel="0" collapsed="false">
      <c r="A5" s="3" t="s">
        <v>32</v>
      </c>
      <c r="B5" s="3" t="s">
        <v>33</v>
      </c>
      <c r="C5" s="3" t="s">
        <v>9</v>
      </c>
      <c r="D5" s="3" t="s">
        <v>10</v>
      </c>
      <c r="E5" s="3" t="s">
        <v>38</v>
      </c>
    </row>
    <row r="6" customFormat="false" ht="15" hidden="false" customHeight="false" outlineLevel="0" collapsed="false">
      <c r="A6" s="4" t="s">
        <v>39</v>
      </c>
      <c r="B6" s="4" t="s">
        <v>40</v>
      </c>
      <c r="C6" s="10" t="n">
        <v>0</v>
      </c>
      <c r="D6" s="10" t="n">
        <v>0</v>
      </c>
      <c r="E6" s="4" t="s">
        <v>312</v>
      </c>
    </row>
    <row r="7" customFormat="false" ht="15" hidden="false" customHeight="false" outlineLevel="0" collapsed="false">
      <c r="A7" s="4" t="s">
        <v>42</v>
      </c>
      <c r="B7" s="4" t="s">
        <v>313</v>
      </c>
      <c r="C7" s="10" t="n">
        <v>1</v>
      </c>
      <c r="D7" s="10" t="n">
        <v>1</v>
      </c>
      <c r="E7" s="4" t="s">
        <v>314</v>
      </c>
    </row>
    <row r="8" customFormat="false" ht="15" hidden="false" customHeight="false" outlineLevel="0" collapsed="false">
      <c r="A8" s="4" t="s">
        <v>45</v>
      </c>
      <c r="B8" s="4" t="s">
        <v>315</v>
      </c>
      <c r="C8" s="10" t="n">
        <v>1</v>
      </c>
      <c r="D8" s="10" t="n">
        <v>0.5</v>
      </c>
      <c r="E8" s="4" t="s">
        <v>316</v>
      </c>
    </row>
    <row r="9" customFormat="false" ht="15" hidden="false" customHeight="false" outlineLevel="0" collapsed="false">
      <c r="A9" s="4" t="s">
        <v>48</v>
      </c>
      <c r="B9" s="4" t="s">
        <v>317</v>
      </c>
      <c r="C9" s="10" t="n">
        <v>1</v>
      </c>
      <c r="D9" s="10" t="n">
        <v>1</v>
      </c>
      <c r="E9" s="4" t="s">
        <v>318</v>
      </c>
    </row>
    <row r="10" customFormat="false" ht="15" hidden="false" customHeight="false" outlineLevel="0" collapsed="false">
      <c r="A10" s="4" t="s">
        <v>51</v>
      </c>
      <c r="B10" s="4" t="s">
        <v>319</v>
      </c>
      <c r="C10" s="10" t="n">
        <v>0.5</v>
      </c>
      <c r="D10" s="10" t="n">
        <v>0.5</v>
      </c>
      <c r="E10" s="4" t="s">
        <v>320</v>
      </c>
    </row>
    <row r="11" customFormat="false" ht="15" hidden="false" customHeight="false" outlineLevel="0" collapsed="false">
      <c r="A11" s="4" t="s">
        <v>54</v>
      </c>
      <c r="B11" s="4" t="s">
        <v>321</v>
      </c>
      <c r="C11" s="10" t="n">
        <v>1</v>
      </c>
      <c r="D11" s="10" t="n">
        <v>0</v>
      </c>
      <c r="E11" s="4" t="s">
        <v>322</v>
      </c>
    </row>
    <row r="13" customFormat="false" ht="15" hidden="false" customHeight="false" outlineLevel="0" collapsed="false">
      <c r="B13" s="9" t="s">
        <v>57</v>
      </c>
      <c r="C13" s="11" t="n">
        <f aca="false">SUM(C6:C11)/6</f>
        <v>0.75</v>
      </c>
      <c r="D13" s="11" t="n">
        <f aca="false">SUM(D6:D11)/6</f>
        <v>0.5</v>
      </c>
    </row>
    <row r="15" customFormat="false" ht="15" hidden="false" customHeight="false" outlineLevel="0" collapsed="false">
      <c r="A15" s="3" t="s">
        <v>323</v>
      </c>
      <c r="B15" s="3" t="s">
        <v>324</v>
      </c>
      <c r="C15" s="3" t="s">
        <v>65</v>
      </c>
      <c r="D15" s="3"/>
      <c r="E15" s="3" t="s">
        <v>323</v>
      </c>
      <c r="F15" s="3" t="s">
        <v>325</v>
      </c>
      <c r="G15" s="3" t="s">
        <v>65</v>
      </c>
      <c r="H15" s="3" t="s">
        <v>38</v>
      </c>
    </row>
    <row r="16" customFormat="false" ht="15" hidden="false" customHeight="false" outlineLevel="0" collapsed="false">
      <c r="A16" s="16" t="n">
        <v>1</v>
      </c>
      <c r="B16" s="4" t="s">
        <v>326</v>
      </c>
      <c r="C16" s="17" t="n">
        <v>1</v>
      </c>
      <c r="E16" s="16" t="n">
        <v>1</v>
      </c>
      <c r="F16" s="4" t="s">
        <v>326</v>
      </c>
      <c r="G16" s="17" t="n">
        <v>1</v>
      </c>
      <c r="H16" s="2" t="s">
        <v>327</v>
      </c>
    </row>
    <row r="17" customFormat="false" ht="15" hidden="false" customHeight="false" outlineLevel="0" collapsed="false">
      <c r="A17" s="16" t="n">
        <v>2</v>
      </c>
      <c r="B17" s="4" t="s">
        <v>328</v>
      </c>
      <c r="C17" s="17" t="n">
        <v>1</v>
      </c>
      <c r="E17" s="16" t="n">
        <v>2</v>
      </c>
      <c r="F17" s="4" t="s">
        <v>328</v>
      </c>
      <c r="G17" s="17" t="n">
        <v>1</v>
      </c>
    </row>
    <row r="18" customFormat="false" ht="15" hidden="false" customHeight="false" outlineLevel="0" collapsed="false">
      <c r="A18" s="16" t="n">
        <v>3</v>
      </c>
      <c r="B18" s="4" t="s">
        <v>329</v>
      </c>
      <c r="C18" s="17" t="n">
        <v>1</v>
      </c>
      <c r="E18" s="16" t="n">
        <v>3</v>
      </c>
      <c r="F18" s="4" t="s">
        <v>330</v>
      </c>
      <c r="G18" s="17" t="n">
        <v>1</v>
      </c>
    </row>
    <row r="19" customFormat="false" ht="15" hidden="false" customHeight="false" outlineLevel="0" collapsed="false">
      <c r="A19" s="16" t="n">
        <v>4</v>
      </c>
      <c r="B19" s="4" t="s">
        <v>331</v>
      </c>
      <c r="C19" s="17" t="n">
        <v>1</v>
      </c>
      <c r="E19" s="16" t="n">
        <v>4</v>
      </c>
      <c r="F19" s="4" t="s">
        <v>332</v>
      </c>
      <c r="G19" s="17" t="n">
        <v>0</v>
      </c>
    </row>
    <row r="20" customFormat="false" ht="15" hidden="false" customHeight="false" outlineLevel="0" collapsed="false">
      <c r="A20" s="16" t="n">
        <v>5</v>
      </c>
      <c r="B20" s="4" t="s">
        <v>333</v>
      </c>
      <c r="C20" s="17" t="n">
        <v>1</v>
      </c>
      <c r="E20" s="16" t="n">
        <v>5</v>
      </c>
      <c r="F20" s="4" t="s">
        <v>334</v>
      </c>
      <c r="G20" s="17" t="n">
        <v>0</v>
      </c>
    </row>
    <row r="21" customFormat="false" ht="15" hidden="false" customHeight="false" outlineLevel="0" collapsed="false">
      <c r="A21" s="16" t="n">
        <v>6</v>
      </c>
      <c r="B21" s="4" t="s">
        <v>335</v>
      </c>
      <c r="C21" s="17" t="n">
        <v>1</v>
      </c>
      <c r="E21" s="16" t="n">
        <v>6</v>
      </c>
      <c r="F21" s="4" t="s">
        <v>336</v>
      </c>
      <c r="G21" s="17" t="n">
        <v>0</v>
      </c>
    </row>
    <row r="22" customFormat="false" ht="15" hidden="false" customHeight="false" outlineLevel="0" collapsed="false">
      <c r="A22" s="16" t="n">
        <v>7</v>
      </c>
      <c r="B22" s="4" t="s">
        <v>337</v>
      </c>
      <c r="C22" s="17" t="n">
        <v>1</v>
      </c>
    </row>
    <row r="23" customFormat="false" ht="15" hidden="false" customHeight="false" outlineLevel="0" collapsed="false">
      <c r="A23" s="16" t="n">
        <v>8</v>
      </c>
      <c r="B23" s="4" t="s">
        <v>338</v>
      </c>
      <c r="C23" s="17" t="n">
        <v>1</v>
      </c>
    </row>
    <row r="24" customFormat="false" ht="15" hidden="false" customHeight="false" outlineLevel="0" collapsed="false">
      <c r="A24" s="16" t="n">
        <v>9</v>
      </c>
      <c r="B24" s="4" t="s">
        <v>339</v>
      </c>
      <c r="C24" s="17" t="n">
        <v>1</v>
      </c>
    </row>
    <row r="25" customFormat="false" ht="15" hidden="false" customHeight="false" outlineLevel="0" collapsed="false">
      <c r="A25" s="16" t="n">
        <v>10</v>
      </c>
      <c r="B25" s="4" t="s">
        <v>340</v>
      </c>
      <c r="C25" s="17" t="n">
        <v>0</v>
      </c>
    </row>
    <row r="27" customFormat="false" ht="15" hidden="false" customHeight="false" outlineLevel="0" collapsed="false">
      <c r="B27" s="9" t="s">
        <v>123</v>
      </c>
      <c r="C27" s="11" t="n">
        <f aca="false">SUM(C16:C25)/COUNT(C16:C25)</f>
        <v>0.9</v>
      </c>
      <c r="G27" s="11" t="n">
        <f aca="false">SUM(G16:G21)/COUNT(G16:G21)</f>
        <v>0.5</v>
      </c>
    </row>
    <row r="29" customFormat="false" ht="15" hidden="false" customHeight="false" outlineLevel="0" collapsed="false">
      <c r="A29" s="3" t="s">
        <v>3</v>
      </c>
      <c r="B29" s="3" t="s">
        <v>9</v>
      </c>
      <c r="C29" s="3" t="s">
        <v>10</v>
      </c>
      <c r="D29" s="3" t="s">
        <v>8</v>
      </c>
    </row>
    <row r="30" customFormat="false" ht="15" hidden="false" customHeight="false" outlineLevel="0" collapsed="false">
      <c r="A30" s="4" t="s">
        <v>185</v>
      </c>
      <c r="B30" s="7" t="n">
        <v>0</v>
      </c>
      <c r="C30" s="7" t="n">
        <v>0</v>
      </c>
      <c r="D30" s="4" t="s">
        <v>341</v>
      </c>
    </row>
    <row r="31" customFormat="false" ht="15" hidden="false" customHeight="false" outlineLevel="0" collapsed="false">
      <c r="A31" s="4" t="s">
        <v>186</v>
      </c>
      <c r="B31" s="7" t="n">
        <v>0</v>
      </c>
      <c r="C31" s="7" t="n">
        <v>0</v>
      </c>
      <c r="D31" s="4" t="s">
        <v>342</v>
      </c>
    </row>
    <row r="32" customFormat="false" ht="15" hidden="false" customHeight="false" outlineLevel="0" collapsed="false">
      <c r="A32" s="4" t="s">
        <v>187</v>
      </c>
      <c r="B32" s="5" t="n">
        <v>1</v>
      </c>
      <c r="C32" s="5" t="n">
        <v>1</v>
      </c>
      <c r="D32" s="4" t="s">
        <v>343</v>
      </c>
    </row>
    <row r="33" customFormat="false" ht="15" hidden="false" customHeight="false" outlineLevel="0" collapsed="false">
      <c r="A33" s="4" t="s">
        <v>229</v>
      </c>
      <c r="B33" s="7" t="n">
        <v>0.3</v>
      </c>
      <c r="C33" s="7" t="n">
        <v>0.3</v>
      </c>
      <c r="D33" s="4" t="s">
        <v>344</v>
      </c>
    </row>
    <row r="35" customFormat="false" ht="15" hidden="false" customHeight="false" outlineLevel="0" collapsed="false">
      <c r="A35" s="2" t="s">
        <v>345</v>
      </c>
    </row>
    <row r="37" customFormat="false" ht="15" hidden="false" customHeight="false" outlineLevel="0" collapsed="false">
      <c r="A37" s="2" t="s">
        <v>346</v>
      </c>
    </row>
  </sheetData>
  <printOptions headings="false" gridLines="false" gridLinesSet="true" horizontalCentered="false" verticalCentered="false"/>
  <pageMargins left="0.75" right="0.75" top="1" bottom="1"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F1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875" defaultRowHeight="15" zeroHeight="false" outlineLevelRow="0" outlineLevelCol="0"/>
  <cols>
    <col collapsed="false" customWidth="true" hidden="false" outlineLevel="0" max="1" min="1" style="0" width="24"/>
    <col collapsed="false" customWidth="true" hidden="false" outlineLevel="0" max="2" min="2" style="0" width="34"/>
    <col collapsed="false" customWidth="true" hidden="false" outlineLevel="0" max="3" min="3" style="0" width="11.99"/>
    <col collapsed="false" customWidth="true" hidden="false" outlineLevel="0" max="5" min="4" style="0" width="16"/>
    <col collapsed="false" customWidth="true" hidden="false" outlineLevel="0" max="6" min="6" style="0" width="58"/>
  </cols>
  <sheetData>
    <row r="1" customFormat="false" ht="15" hidden="false" customHeight="false" outlineLevel="0" collapsed="false">
      <c r="A1" s="15" t="s">
        <v>347</v>
      </c>
    </row>
    <row r="2" customFormat="false" ht="15" hidden="false" customHeight="false" outlineLevel="0" collapsed="false">
      <c r="A2" s="2" t="s">
        <v>348</v>
      </c>
    </row>
    <row r="4" customFormat="false" ht="15" hidden="false" customHeight="false" outlineLevel="0" collapsed="false">
      <c r="A4" s="3" t="s">
        <v>182</v>
      </c>
      <c r="B4" s="3" t="s">
        <v>349</v>
      </c>
      <c r="C4" s="3" t="s">
        <v>350</v>
      </c>
      <c r="D4" s="3" t="s">
        <v>351</v>
      </c>
      <c r="E4" s="3" t="s">
        <v>352</v>
      </c>
      <c r="F4" s="3" t="s">
        <v>66</v>
      </c>
    </row>
    <row r="5" customFormat="false" ht="15" hidden="false" customHeight="false" outlineLevel="0" collapsed="false">
      <c r="A5" s="4" t="s">
        <v>353</v>
      </c>
      <c r="B5" s="4" t="s">
        <v>354</v>
      </c>
      <c r="C5" s="4" t="s">
        <v>355</v>
      </c>
      <c r="D5" s="4" t="s">
        <v>356</v>
      </c>
      <c r="E5" s="7" t="n">
        <v>0.41</v>
      </c>
      <c r="F5" s="4" t="s">
        <v>357</v>
      </c>
    </row>
    <row r="6" customFormat="false" ht="15" hidden="false" customHeight="false" outlineLevel="0" collapsed="false">
      <c r="A6" s="4" t="s">
        <v>358</v>
      </c>
      <c r="B6" s="4" t="s">
        <v>359</v>
      </c>
      <c r="C6" s="4" t="s">
        <v>355</v>
      </c>
      <c r="D6" s="4" t="s">
        <v>360</v>
      </c>
      <c r="E6" s="7" t="n">
        <v>0.42</v>
      </c>
      <c r="F6" s="4" t="s">
        <v>361</v>
      </c>
    </row>
    <row r="7" customFormat="false" ht="15" hidden="false" customHeight="false" outlineLevel="0" collapsed="false">
      <c r="A7" s="4" t="s">
        <v>362</v>
      </c>
      <c r="B7" s="4" t="s">
        <v>363</v>
      </c>
      <c r="C7" s="4" t="s">
        <v>364</v>
      </c>
      <c r="D7" s="4" t="s">
        <v>365</v>
      </c>
      <c r="E7" s="7" t="n">
        <v>59.96</v>
      </c>
      <c r="F7" s="4" t="s">
        <v>366</v>
      </c>
    </row>
    <row r="8" customFormat="false" ht="15" hidden="false" customHeight="false" outlineLevel="0" collapsed="false">
      <c r="A8" s="4" t="s">
        <v>367</v>
      </c>
      <c r="B8" s="4" t="s">
        <v>368</v>
      </c>
      <c r="C8" s="4" t="s">
        <v>364</v>
      </c>
      <c r="D8" s="4" t="s">
        <v>369</v>
      </c>
      <c r="E8" s="7" t="n">
        <v>25.32</v>
      </c>
      <c r="F8" s="4" t="s">
        <v>370</v>
      </c>
    </row>
    <row r="9" customFormat="false" ht="15" hidden="false" customHeight="false" outlineLevel="0" collapsed="false">
      <c r="A9" s="4" t="s">
        <v>371</v>
      </c>
      <c r="B9" s="4" t="s">
        <v>372</v>
      </c>
      <c r="C9" s="4" t="s">
        <v>364</v>
      </c>
      <c r="D9" s="4" t="s">
        <v>373</v>
      </c>
      <c r="E9" s="7" t="n">
        <v>36.75</v>
      </c>
      <c r="F9" s="4" t="s">
        <v>374</v>
      </c>
    </row>
    <row r="10" customFormat="false" ht="15" hidden="false" customHeight="false" outlineLevel="0" collapsed="false">
      <c r="A10" s="4" t="s">
        <v>375</v>
      </c>
      <c r="B10" s="4" t="s">
        <v>372</v>
      </c>
      <c r="C10" s="4" t="s">
        <v>364</v>
      </c>
      <c r="D10" s="4" t="s">
        <v>376</v>
      </c>
      <c r="E10" s="7" t="n">
        <v>99.63</v>
      </c>
      <c r="F10" s="4" t="s">
        <v>377</v>
      </c>
    </row>
    <row r="12" customFormat="false" ht="15" hidden="false" customHeight="false" outlineLevel="0" collapsed="false">
      <c r="A12" s="2" t="s">
        <v>378</v>
      </c>
    </row>
  </sheetData>
  <printOptions headings="false" gridLines="false" gridLinesSet="true" horizontalCentered="false" verticalCentered="false"/>
  <pageMargins left="0.75" right="0.75" top="1" bottom="1"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LibreOffice/6.4.6.2$Windows_X86_64 LibreOffice_project/0ce51a4fd21bff07a5c061082cc82c5ed232f115</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2026-07-27T05:31:45Z</dcterms:created>
  <dc:creator>openpyxl</dc:creator>
  <dc:description/>
  <dc:language>en-PH</dc:language>
  <cp:lastModifiedBy/>
  <dcterms:modified xsi:type="dcterms:W3CDTF">2026-07-29T22:46:57Z</dcterms:modified>
  <cp:revision>1</cp:revision>
  <dc:subject/>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3.1</vt:lpwstr>
  </property>
</Properties>
</file>