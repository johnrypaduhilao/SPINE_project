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swer_key" sheetId="1" state="visible" r:id="rId2"/>
    <sheet name="GT_tree" sheetId="2" state="visible" r:id="rId3"/>
    <sheet name="Key Observations" sheetId="3" state="visible" r:id="rId4"/>
    <sheet name="Assumptions"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<sst xmlns="http://schemas.openxmlformats.org/spreadsheetml/2006/main" count="213" uniqueCount="158">
  <si>
    <t xml:space="preserve">Ground truth answer key: astropy__astropy-12907 (iteration 3, rulings applied)</t>
  </si>
  <si>
    <t xml:space="preserve">Required steps implied by the intent, each grounded in the issue text or benchmark artifacts. All rows are settled; recall denominator is 6 (GT-01..GT-06). Rulings live on the Key Findings sheet and override any draft text here. Monitoring is deliberately not an enumerated obligation; see the Assumptions sheet.</t>
  </si>
  <si>
    <t xml:space="preserve">GT id</t>
  </si>
  <si>
    <t xml:space="preserve">Required step</t>
  </si>
  <si>
    <t xml:space="preserve">Grounded in (Ctrl-F anchor)</t>
  </si>
  <si>
    <t xml:space="preserve">GT-01</t>
  </si>
  <si>
    <t xml:space="preserve">Reproduce the reported incorrect behavior using the reproduction the intent supplies</t>
  </si>
  <si>
    <t xml:space="preserve">intent: 'Suddenly the inputs and outputs are no longer separable?' plus the three ```python blocks</t>
  </si>
  <si>
    <t xml:space="preserve">GT-02</t>
  </si>
  <si>
    <t xml:space="preserve">Localize the defect within the separability computation</t>
  </si>
  <si>
    <t xml:space="preserve">intent: 'does not compute separability correctly' names the failing capability, not the location; locating is implied work</t>
  </si>
  <si>
    <t xml:space="preserve">GT-03</t>
  </si>
  <si>
    <t xml:space="preserve">Characterize why nesting specifically breaks the computation</t>
  </si>
  <si>
    <t xml:space="preserve">intent contrasts flat vs nested outcomes across its three examples</t>
  </si>
  <si>
    <t xml:space="preserve">GT-04</t>
  </si>
  <si>
    <t xml:space="preserve">Correct the computation so nested CompoundModels yield the expected matrix</t>
  </si>
  <si>
    <t xml:space="preserve">reference patch: one-line _cstack fix (cright[...] = right); the intent's core obligation</t>
  </si>
  <si>
    <t xml:space="preserve">GT-05</t>
  </si>
  <si>
    <t xml:space="preserve">Verify the reported case now yields the expected output</t>
  </si>
  <si>
    <t xml:space="preserve">intent supplies the expected diagonal/block matrices as the oracle</t>
  </si>
  <si>
    <t xml:space="preserve">GT-06</t>
  </si>
  <si>
    <t xml:space="preserve">Preserve existing separability behavior (no regressions)</t>
  </si>
  <si>
    <t xml:space="preserve">benchmark PASS_TO_PASS: 13 existing tests must keep passing; implied by 'fix correctly'</t>
  </si>
  <si>
    <t xml:space="preserve">Answer-key steps counted:</t>
  </si>
  <si>
    <t xml:space="preserve">Ground truth policy tree: astropy__astropy-12907 (iteration 3, rulings applied)</t>
  </si>
  <si>
    <t xml:space="preserve">Reference tree the unstructured and structured runs are scored against. Working nodes map 1:1 to answer-key steps via Realizes; structural nodes are labeled scaffolding. 9 nodes: 6 working plus 3 scaffolding (P0 root, P9 monitor hub, P3 plan hub). Arbitrate is struck (Key Findings #5). Imperatives are terminal and sibling order is enforcement order, not lineage (Key Findings #4). Definitives may be childless, consistent with the embodied GT.</t>
  </si>
  <si>
    <t xml:space="preserve">ID NOTE: ids are stable labels, not a sequence. P8 is retired and must not be reused; it denoted the struck arbitrate node (Key Findings #5). COLLISION WARNING: these ids collide with the model trees and mean different things. Cite as GT-P&lt;n&gt; vs M-P&lt;n&gt; in every scoring artifact. GT-P1 Analyze/locate vs M-P1 continuous Monitor; GT-P6 validate reported case vs M-P6 author new tests; GT-P7 run existing suite vs M-P7 delivery branch.</t>
  </si>
  <si>
    <t xml:space="preserve">id</t>
  </si>
  <si>
    <t xml:space="preserve">parent_id</t>
  </si>
  <si>
    <t xml:space="preserve">level</t>
  </si>
  <si>
    <t xml:space="preserve">definer</t>
  </si>
  <si>
    <t xml:space="preserve">enforcer</t>
  </si>
  <si>
    <t xml:space="preserve">action</t>
  </si>
  <si>
    <t xml:space="preserve">resource</t>
  </si>
  <si>
    <t xml:space="preserve">spatial</t>
  </si>
  <si>
    <t xml:space="preserve">temporal</t>
  </si>
  <si>
    <t xml:space="preserve">context</t>
  </si>
  <si>
    <t xml:space="preserve">rationale</t>
  </si>
  <si>
    <t xml:space="preserve">Realizes</t>
  </si>
  <si>
    <t xml:space="preserve">P0</t>
  </si>
  <si>
    <t xml:space="preserve">declarative</t>
  </si>
  <si>
    <t xml:space="preserve">human operator</t>
  </si>
  <si>
    <t xml:space="preserve">Orchestrator</t>
  </si>
  <si>
    <t xml:space="preserve">fix</t>
  </si>
  <si>
    <t xml:space="preserve">separability computation for nested CompoundModels</t>
  </si>
  <si>
    <t xml:space="preserve">astropy repository</t>
  </si>
  <si>
    <t xml:space="preserve">always</t>
  </si>
  <si>
    <t xml:space="preserve">production</t>
  </si>
  <si>
    <t xml:space="preserve">Restates the raw intent as the root declarative policy.</t>
  </si>
  <si>
    <t xml:space="preserve">scaffolding (root)</t>
  </si>
  <si>
    <t xml:space="preserve">P9</t>
  </si>
  <si>
    <t xml:space="preserve">definitive</t>
  </si>
  <si>
    <t xml:space="preserve">assurance engine</t>
  </si>
  <si>
    <t xml:space="preserve">Monitor</t>
  </si>
  <si>
    <t xml:space="preserve">observe</t>
  </si>
  <si>
    <t xml:space="preserve">separability output for the reported nested CompoundModel cases</t>
  </si>
  <si>
    <t xml:space="preserve">local repository workspace</t>
  </si>
  <si>
    <t xml:space="preserve">The intent asserts a defect and supplies its own reproduction as evidence; the current state of the computation must be observed and the defect confirmed present before anything is analyzed or changed. Bounded baseline observation, not a standing watch.</t>
  </si>
  <si>
    <t xml:space="preserve">scaffolding (monitor hub)</t>
  </si>
  <si>
    <t xml:space="preserve">P1</t>
  </si>
  <si>
    <t xml:space="preserve">Analyze</t>
  </si>
  <si>
    <t xml:space="preserve">locate</t>
  </si>
  <si>
    <t xml:space="preserve">code path computing separability for CompoundModels</t>
  </si>
  <si>
    <t xml:space="preserve">astropy/modeling/separable.py</t>
  </si>
  <si>
    <t xml:space="preserve">The intent names a failing capability, not a location; the defect must be located before it can be characterized or fixed.</t>
  </si>
  <si>
    <t xml:space="preserve">P2</t>
  </si>
  <si>
    <t xml:space="preserve">characterize</t>
  </si>
  <si>
    <t xml:space="preserve">difference in matrix assembly between flat and nested operands</t>
  </si>
  <si>
    <t xml:space="preserve">Locating the path is not enough; why nesting diverges from the flat case must be understood to plan a correct fix.</t>
  </si>
  <si>
    <t xml:space="preserve">P3</t>
  </si>
  <si>
    <t xml:space="preserve">Plan</t>
  </si>
  <si>
    <t xml:space="preserve">decide</t>
  </si>
  <si>
    <t xml:space="preserve">repair strategy for the characterized defect</t>
  </si>
  <si>
    <t xml:space="preserve">A fix, its verification, and regression protection are planned from the characterization before anything executes.</t>
  </si>
  <si>
    <t xml:space="preserve">scaffolding (plan hub)</t>
  </si>
  <si>
    <t xml:space="preserve">P4</t>
  </si>
  <si>
    <t xml:space="preserve">imperative</t>
  </si>
  <si>
    <t xml:space="preserve">Execute</t>
  </si>
  <si>
    <t xml:space="preserve">run</t>
  </si>
  <si>
    <t xml:space="preserve">reproduction script from the intent's code blocks</t>
  </si>
  <si>
    <t xml:space="preserve">Running the supplied reproduction is the executable step by which the asserted defect is confirmed present in the current code and the pre-fix baseline is fixed; it sits under the Monitor definitive it serves.</t>
  </si>
  <si>
    <t xml:space="preserve">P5</t>
  </si>
  <si>
    <t xml:space="preserve">edit</t>
  </si>
  <si>
    <t xml:space="preserve">the defective assembly step in separable.py</t>
  </si>
  <si>
    <t xml:space="preserve">Applying the planned correction to the located step is the concrete realization of the intent's core obligation.</t>
  </si>
  <si>
    <t xml:space="preserve">P6</t>
  </si>
  <si>
    <t xml:space="preserve">validate</t>
  </si>
  <si>
    <t xml:space="preserve">reported nested case against the intent's expected matrices</t>
  </si>
  <si>
    <t xml:space="preserve">The intent supplies the expected output; the patched code must reproduce it for the reported case.</t>
  </si>
  <si>
    <t xml:space="preserve">P7</t>
  </si>
  <si>
    <t xml:space="preserve">existing separability test suite</t>
  </si>
  <si>
    <t xml:space="preserve">astropy/modeling/tests/test_separable.py</t>
  </si>
  <si>
    <t xml:space="preserve">A correct fix must not alter previously correct behavior; the existing suite is the guard.</t>
  </si>
  <si>
    <t xml:space="preserve">total nodes:</t>
  </si>
  <si>
    <t xml:space="preserve">working nodes (Realizes GT-*):</t>
  </si>
  <si>
    <t xml:space="preserve">Key findings: decisions</t>
  </si>
  <si>
    <t xml:space="preserve">Each row is a judgment call the draft could not make. The last column records the ruling; rulings override every draft row in the other sheets.</t>
  </si>
  <si>
    <t xml:space="preserve">#</t>
  </si>
  <si>
    <t xml:space="preserve">Decision needed</t>
  </si>
  <si>
    <t xml:space="preserve">Notes</t>
  </si>
  <si>
    <t xml:space="preserve">Ruling</t>
  </si>
  <si>
    <t xml:space="preserve">GT-06 scope: is 'preserve existing behavior' an implied step of 'fix correctly'?</t>
  </si>
  <si>
    <t xml:space="preserve">grounded in PASS_TO_PASS being part of resolved.</t>
  </si>
  <si>
    <t xml:space="preserve">YES</t>
  </si>
  <si>
    <t xml:space="preserve">Are NEW regression tests (model's P4.2/P6/P6.1) inside the intent or beyond it?</t>
  </si>
  <si>
    <t xml:space="preserve">Beyond-intent??: the user asked for a fix, not tests; the benchmark's test_patch is the oracle, not a user request. Score those nodes in precision like the tag/alert precedent.</t>
  </si>
  <si>
    <t xml:space="preserve">AGREED, with split. P4.2 and P6 (author new regression tests) score
precision 0 as beyond-intent. Basis: intent Ctrl-F "test" returns zero
hits, and the harness grades with its own hidden FAIL_TO_PASS and
PASS_TO_PASS tests, so authoring new tests adds no graded value
(tag/alert precedent). P6.1 (run the existing suite) scores precision 1
and is the node that CARRIES GT-06 recall. The split is required: if P6
and P6.1 are scored together as one beyond-intent branch, GT-06 recall
zeroes silently.</t>
  </si>
  <si>
    <t xml:space="preserve">Model's P7 delivery branch (commit, submit PR): relevant for precision?</t>
  </si>
  <si>
    <t xml:space="preserve">Beyond-intent; same precedent as item 2.</t>
  </si>
  <si>
    <t xml:space="preserve">Model tree has imperative-under-imperative chains (P5.1 under P5; P6.1 under P6), a shape prior trees never had.</t>
  </si>
  <si>
    <t xml:space="preserve">request does not forbid it; no GT change.</t>
  </si>
  <si>
    <t xml:space="preserve">ACCEPTED, RULED, Jul 21. Imperatives are terminal. A definitive may
bear multiple imperative children executed in sequence; sibling order is
enforcement order, not lineage. Her test: each imperative must map to its
own execution call, which P5 and P5.1 satisfy (enforcer = execute). The
model's P5.1 parent pointer is sequencing conflated with lineage, not an
added abstraction level. Carve-out granted: an executed call that itself
invokes another executable (recursive-function case) is a legitimate
imperative under an imperative. Score effect: none. TC unaffected, GT-06
recall via P6.1 stands, the conflation is reported as a finding and not
penalized. Anchors: "produce two children or multiple children of
imperative policies"; "like in recursive function".</t>
  </si>
  <si>
    <t xml:space="preserve">acceptable if definitive is clear</t>
  </si>
  <si>
    <t xml:space="preserve">Does the safety-first invariant (arbitrate) convention extend to repair-style intents? (GT row P8)</t>
  </si>
  <si>
    <t xml:space="preserve">Keep for cross-GT uniformity, excluded from recall as always;</t>
  </si>
  <si>
    <t xml:space="preserve">REMOVE  The arbitrate node is
struck from the GT. Basis: the published protect_files GT (paper Table I
and the protect_files workbook) contains no arbitrate node, so the
safety-invariant convention is study-specific rather than universal. The
fix-versus-preserve tension it was meant to carry is already held by
GT-04 (correct computation) and GT-06 (preserve existing behavior) as
separate steps. Score-neutral: the node was excluded from recall in every
prior GT, so the recall denominator stays 6 (GT-01..GT-06). Q3 was not
raised on Jul 21; reversible if she rules the convention universal.</t>
  </si>
  <si>
    <t xml:space="preserve">Model's P1 Monitor node: does a one-shot repair intent warrant a continuous Monitor policy?</t>
  </si>
  <si>
    <t xml:space="preserve">Contestable; lean relevant-but-marginal for precision;</t>
  </si>
  <si>
    <t xml:space="preserve">REVISED (2nd), Jul 26. RULING: temporal = always, and M-P1 scores precision 1 (relevant), not 0.
Basis (a) convention: every prior GT in the study carries temporal = always on every node
(protect_files P0..P3, embodied P0..P6), so always is the project default, not a per-intent judgment.
Basis (b) field semantics: T is time only (always, deadlines, windows), so a condition-bounded value
such as "once, until verified" is a firing condition and belongs to monitored state, not to the tuple,
the same rule already applied to the embodied turn-off-before-wipe ordering.
Consequence: with the root at always the intent is standing, which is ref paper intent-management
default, so a continuous Monitor policy is derivable from the intent and M-P1 is relevant.
Recall unaffected: the 6 enumerated obligations are each grounded in the issue text or benchmark
artifacts and monitoring is grounded in neither; a standing repository watch belongs to the enclosing
assurance intent that would spawn fix-intents.
Recorded divergence, now narrowed: this GT carries a Monitor phase (P9, added Key Findings #11) like
protect_files and embodied; what it does not enumerate is a standing watch as an obligation. Denominator stays 6, which avoids rewarding the Claude tree and penalizing the Gemini tree (no
Monitor node) on an obligation the intent never states.
Anchors: "it depends on how you, you provide your assumptions"; "intent needs to be met at all time,
so continuous monitoring makes sense".</t>
  </si>
  <si>
    <t xml:space="preserve">Disclosure: model tree names _cstack without repo access (training contamination from a famous bug).</t>
  </si>
  <si>
    <t xml:space="preserve">Disclose wherever the tree is presented; specificity and coverage may be inflated; TC/AC/EF unaffected (structural).</t>
  </si>
  <si>
    <t xml:space="preserve">ACCEPTED.  _cstack to training recall ("because
they've been trained, right?") and framed the test as relevance rather
than scope. Disclosure stance unchanged: disclose whenever the tree is
shown, note that content specificity may be inflated, TC/AC/EF are
structural and untouched.</t>
  </si>
  <si>
    <t xml:space="preserve">Model P4 rationale contains a Unicode em dash (U+2014).</t>
  </si>
  <si>
    <t xml:space="preserve">Data stays verbatim in the JSON; escape or rewrite only at quoting time (LaTeX/notes).</t>
  </si>
  <si>
    <t xml:space="preserve">Request version: is the Q1 grammar line (imperatives are terminal) retro-fitted into the scored request?</t>
  </si>
  <si>
    <t xml:space="preserve">No. v1 produced both scored trees; editing it desynchronizes artifact from instrument.</t>
  </si>
  <si>
    <t xml:space="preserve">REQ-V1 FROZEN for the scored pilot. The Q1 grammar line is a v2 change applied at the execution-arm
stage, not retro-fitted. Editing v1 would desynchronize the scored trees from the request that produced
them and break the FormatSpread (Sclar et al., ICLR 2024) rationale for freezing, up to 76 points of
swing from formatting alone. No re-run is required: Meeting on Jul 21 ruling makes the existing tree
interpretable as it stands. Disclose the v1/v2 boundary when execution-arm results are reported.</t>
  </si>
  <si>
    <t xml:space="preserve">Temporal convention: is T restricted to always, or may it carry a specific datetime, deadline, or window?</t>
  </si>
  <si>
    <t xml:space="preserve">Field semantics already admit always, deadlines, and windows (time only). Conditions are firing conditions in monitored state, not T.</t>
  </si>
  <si>
    <t xml:space="preserve">Not blocking. This GT uses always on every node, consistent with all prior GTs,
so scoring proceeds either way. The question for her is narrower than it looks: the tuple is not locked to
always, since T admits deadlines and windows by definition. What needs her convention is whether a
condition-bounded temporal ("until verified", "until the suite passes") is ever admissible in T, or whether
conditions must always be expressed as monitored state. Current stance: monitored state, matching the
open imperative IF/THEN decision.</t>
  </si>
  <si>
    <t xml:space="preserve">Does the GT need a Monitor phase, given the intent asserts a defect and supplies its own reproduction?</t>
  </si>
  <si>
    <t xml:space="preserve">The tree covered Analyze, Plan and Execute but had no Monitor enforcer, in a MAPE-K framing.</t>
  </si>
  <si>
    <t xml:space="preserve">ADDED, Jul 26. New scaffolding definitive P9 (Monitor / observe) under P0, and P4 reparented
from P1 to P9. Basis: confirming the defect is present in the current code before changing it is bounded
baseline observation, grounded in the intent supplying three reproduction blocks as its own evidence. It is
distinct from a standing watch for recurrence, which stays out of the answer key (Assumptions A3).
The obligation already existed as GT-01; only the MAPE-K phase was missing.
Counts: 8 nodes / 2 scaffolding becomes 9 nodes / 3 scaffolding. Working stays 6, recall denominator stays 6,
no answer-key row changes, no precision change for either model tree (the new node is scaffolding).
Departure from the handoff lock of 8 nodes, recorded as a Jul 26 revision rather than a silent edit.
P4 keeps enforcer Execute: running a script is an execute action and the parent obligation is the
observation, mirroring embodied where Monitor definitive P2 bears an Analyze-enforced child.</t>
  </si>
  <si>
    <t xml:space="preserve">Unstructured prose self-structured: Claude invented ids and a dependency graph with no schema in the prompt. Does that break the TC=0 baseline?</t>
  </si>
  <si>
    <t xml:space="preserve">Anticipated before the run and recorded before any scoring. Gemini did not self-structure; the behavior is model-dependent.</t>
  </si>
  <si>
    <t xml:space="preserve">FINDING, recorded Jul 26. Both plan_unstructured runs completed on a byte-identical
prompt (sha256 d65a655202a3ffd4), no schema, no worked example, no field vocabulary.
Claude (9229 chars, 234 lines) produced six policy groups G1..G6 with hierarchical ids
(P1.1 .. P6.3) and, unprompted, a separate ASCII "Policy Dependency Graph" block stating
that each policy gates the ones downstream of it. Gemini (4349 chars, 47 lines) produced
four flat prose policies with no ids at all; its single "parent" probe hit is the domain
phrase "parent model's matrix", not a pointer.
What Claude invented: ordering and identifiers. What it did NOT invent: definer, enforcer,
MAPE-K phase, abstraction level, and any per-node rationale or parent field. The dependency
arrows exist only as a detached diagram at the end of the document, not as a field on each
node.
Consequence for scoring. AC stays 0.00 by construction for both: there is no definer to
recover, so nothing is judged. EF stays 0.00: reasoning is present but not anchored to a
named node as a field. TC is now the one judgment cell in the scorecard, because a path for
P4.2 is reconstructible from the diagram by reading the whole document rather than by
following a pointer. That is the O(n) prose read versus O(depth) traversal distinction, and
it is exactly the distinction the paper claims.
RULING NEEDED before scoring: does a detached dependency diagram count for TC? Recommended
TC = 0.00, on the locked definition that TC requires the path be recoverable as a
lineage-anchored field, not reconstructed from a separate figure. Reversible; if scored the
other way, report Claude TC above zero and say why, because the honest number is more
defensible than a uniform zero.
Value of the finding: the baseline is now the harder one. Structure did not win against a
vague prose request; it won against a model actively trying to be structured and still
unable to make lineage recoverable.</t>
  </si>
  <si>
    <t xml:space="preserve">Is the structured tree's beyond-intent drift (regression tests, PR, documentation) caused by the schema?</t>
  </si>
  <si>
    <t xml:space="preserve">Checkable now that the unstructured plan exists for the same model.</t>
  </si>
  <si>
    <t xml:space="preserve">NO, model trait. Claude's unstructured prose added a documentation and issue-closure branch
(docstring, CHANGES.rst, closure checklist) plus mixed-operator and property tests, with no
schema present. The same drift appears in its structured tree (P4.2, P6, P7). The schema is
therefore not the cause, which defuses the scope-creep reading of Key Findings #2 and #3.
Gemini drifted far less in both cells, so the trait is model-dependent.</t>
  </si>
  <si>
    <t xml:space="preserve">Setting-2 divergence: is the pilot's plan_unstructured the same instrument as the paper's Setting 2?</t>
  </si>
  <si>
    <t xml:space="preserve">No, and deliberately. Disclosed here so the difference is on record, not reconstructed later.</t>
  </si>
  <si>
    <t xml:space="preserve">DISCLOSED, Jul 26. Two differences from the paper's Setting 2, both deliberate. Persona: the paper
used "you are an autonomous coding agent"; the pilot uses the frozen request's own persona sentence,
held byte-identical with the structured request so representation is the single variable. Task
wording: the paper's S2 was near-bare; the pilot keeps the word "policies" and the decompose-first
instruction. Rationale: the vocabulary of the OBJECT stays, the vocabulary of the REPRESENTATION
goes; asking both arms for policies and giving only one the schema is the harder baseline. Do not
compare pilot plan_unstructured numbers against paper S2 numbers without naming both instruments;
see vocabulary_map.md.</t>
  </si>
  <si>
    <t xml:space="preserve">Declared assumptions and scope, astropy__astropy-12907</t>
  </si>
  <si>
    <t xml:space="preserve">These are the stated bases on which the scoring is performed. They are assumptions, not findings, and each is reversible on author's ruling.</t>
  </si>
  <si>
    <t xml:space="preserve">A1. Intent temporality</t>
  </si>
  <si>
    <t xml:space="preserve">The fix intent is standing, not one-shot. The root policy carries temporal = always, consistent with every prior GT in the study (protect_files, embodied) and with the intent-management default that an intent is a condition the system must meet at all times. The property 'separability computes correctly for nested CompoundModels' is therefore required to hold continuously, and if it is violated again the loop is expected to re-enter. Consequence for scoring: a continuous Monitor policy is derivable from the intent, so the model's M-P1 is relevant (precision 1). See Key Findings #6.</t>
  </si>
  <si>
    <t xml:space="preserve">A2. Benchmark criterion is measurement scope, not intent scope</t>
  </si>
  <si>
    <t xml:space="preserve">The benchmark's satisfaction criterion is a single verified pass over FAIL_TO_PASS (2 tests) and PASS_TO_PASS (13 tests). That is the scope of the measurement, not the temporal scope of the intent. Under A1 the benchmark evaluates one iteration of a standing intent. This keeps the resolved criterion and pass@k intact without contradicting A1.</t>
  </si>
  <si>
    <t xml:space="preserve">A3. Monitoring: bounded baseline observation is in, standing watch is out</t>
  </si>
  <si>
    <t xml:space="preserve">The answer key enumerates only steps grounded in the issue text or the benchmark artifacts. Bounded baseline observation IS so grounded, since the intent supplies its own reproduction, and it is carried by GT-01 under the P9 monitor hub. A standing watch for recurrence is grounded in neither and belongs to the enclosing assurance intent that would spawn fix-intents, so it is not enumerated. Recall denominator stays 6 (GT-01..GT-06). The model's M-P1 standing Monitor is therefore relevant for precision but earns no recall.</t>
  </si>
  <si>
    <t xml:space="preserve">A4. Request version</t>
  </si>
  <si>
    <t xml:space="preserve">REQ-V1 is frozen for the scored pilot. The imperatives-are-terminal grammar line is a v2 change applied at the execution-arm stage. See Key Findings #9.</t>
  </si>
  <si>
    <t xml:space="preserve">A5. Contamination</t>
  </si>
  <si>
    <t xml:space="preserve">The model tree names _cstack without repository access and the request contains no such string. This is training recall. Disclose wherever the tree is presented; content specificity may be inflated; TC/AC/EF are structural and untouched. See Key Findings #7.</t>
  </si>
  <si>
    <t xml:space="preserve">Open For Meeting</t>
  </si>
  <si>
    <t xml:space="preserve">Q3: does the safety-first arbitrate convention extend to repair intents (Key Findings #5, struck as author's call, score-neutral). Q4: may T carry a condition-bounded value, or must conditions be monitored state (Key Findings #10). Neither blocks scoring.</t>
  </si>
  <si>
    <t xml:space="preserve">Design axis to record in Discussion, not a scoring input</t>
  </si>
  <si>
    <t xml:space="preserve">Loop re-entry is an explicit design decision: periodic re-execution at a fixed interval versus change-triggered re-entry on a monitoring-data delta. Co-author raised it on Jul 21 and asked that it be named rather than assumed. Anchor: 'Some people see if there is any change in monitoring data'.</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</si>
</sst>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b val="true"/>
      <sz val="13"/>
      <name val="Calibri"/>
      <family val="0"/>
      <charset val="1"/>
    </font>
    <font>
      <sz val="10"/>
      <name val="Calibri"/>
      <family val="0"/>
      <charset val="1"/>
    </font>
    <font>
      <b val="true"/>
      <sz val="11"/>
      <name val="Calibri"/>
      <family val="0"/>
      <charset val="1"/>
    </font>
    <font>
      <sz val="11"/>
      <name val="Calibri"/>
      <family val="0"/>
      <charset val="1"/>
    </font>
    <font>
      <sz val="11"/>
      <color rgb="FFC9211E"/>
      <name val="Calibri"/>
      <family val="0"/>
      <charset val="1"/>
    </font>
  </fonts>
  <fills count="3">
    <fill>
      <patternFill patternType="none"/>
    </fill>
    <fill>
      <patternFill patternType="gray125"/>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2"/>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selection pane="topLeft" activeCell="B32" activeCellId="0" sqref="B32"/>
    </sheetView>
  </sheetViews>
  <sheetFormatPr defaultColWidth="8.75" defaultRowHeight="15" zeroHeight="false" outlineLevelRow="0" outlineLevelCol="0"/>
  <cols>
    <col collapsed="false" customWidth="true" hidden="false" outlineLevel="0" max="1" min="1" style="1" width="10"/>
    <col collapsed="false" customWidth="true" hidden="false" outlineLevel="0" max="3" min="2" style="1" width="52"/>
    <col collapsed="false" customWidth="true" hidden="false" outlineLevel="0" max="4" min="4" style="1" width="14.01"/>
  </cols>
  <sheetData>
    <row r="1" customFormat="false" ht="16.15" hidden="false" customHeight="true" outlineLevel="0" collapsed="false">
      <c r="A1" s="2" t="s">
        <v>0</v>
      </c>
      <c r="B1" s="2"/>
      <c r="C1" s="2"/>
      <c r="D1" s="2"/>
    </row>
    <row r="2" customFormat="false" ht="39.75" hidden="false" customHeight="true" outlineLevel="0" collapsed="false">
      <c r="A2" s="3" t="s">
        <v>1</v>
      </c>
      <c r="B2" s="3"/>
      <c r="C2" s="3"/>
      <c r="D2" s="3"/>
    </row>
    <row r="4" customFormat="false" ht="13.8" hidden="false" customHeight="true" outlineLevel="0" collapsed="false">
      <c r="A4" s="4" t="s">
        <v>2</v>
      </c>
      <c r="B4" s="4" t="s">
        <v>3</v>
      </c>
      <c r="C4" s="4" t="s">
        <v>4</v>
      </c>
      <c r="D4" s="4"/>
    </row>
    <row r="5" customFormat="false" ht="23.85" hidden="false" customHeight="true" outlineLevel="0" collapsed="false">
      <c r="A5" s="5" t="s">
        <v>5</v>
      </c>
      <c r="B5" s="5" t="s">
        <v>6</v>
      </c>
      <c r="C5" s="5" t="s">
        <v>7</v>
      </c>
      <c r="D5" s="5"/>
    </row>
    <row r="6" customFormat="false" ht="23.85" hidden="false" customHeight="true" outlineLevel="0" collapsed="false">
      <c r="A6" s="5" t="s">
        <v>8</v>
      </c>
      <c r="B6" s="5" t="s">
        <v>9</v>
      </c>
      <c r="C6" s="5" t="s">
        <v>10</v>
      </c>
      <c r="D6" s="5"/>
    </row>
    <row r="7" customFormat="false" ht="23.85" hidden="false" customHeight="true" outlineLevel="0" collapsed="false">
      <c r="A7" s="5" t="s">
        <v>11</v>
      </c>
      <c r="B7" s="5" t="s">
        <v>12</v>
      </c>
      <c r="C7" s="5" t="s">
        <v>13</v>
      </c>
      <c r="D7" s="5"/>
    </row>
    <row r="8" customFormat="false" ht="23.85" hidden="false" customHeight="true" outlineLevel="0" collapsed="false">
      <c r="A8" s="5" t="s">
        <v>14</v>
      </c>
      <c r="B8" s="5" t="s">
        <v>15</v>
      </c>
      <c r="C8" s="5" t="s">
        <v>16</v>
      </c>
      <c r="D8" s="5"/>
    </row>
    <row r="9" customFormat="false" ht="23.85" hidden="false" customHeight="true" outlineLevel="0" collapsed="false">
      <c r="A9" s="5" t="s">
        <v>17</v>
      </c>
      <c r="B9" s="5" t="s">
        <v>18</v>
      </c>
      <c r="C9" s="5" t="s">
        <v>19</v>
      </c>
      <c r="D9" s="5"/>
    </row>
    <row r="10" customFormat="false" ht="23.85" hidden="false" customHeight="true" outlineLevel="0" collapsed="false">
      <c r="A10" s="5" t="s">
        <v>20</v>
      </c>
      <c r="B10" s="5" t="s">
        <v>21</v>
      </c>
      <c r="C10" s="5" t="s">
        <v>22</v>
      </c>
      <c r="D10" s="5"/>
    </row>
    <row r="12" customFormat="false" ht="15" hidden="false" customHeight="true" outlineLevel="0" collapsed="false">
      <c r="A12" s="6"/>
      <c r="B12" s="6" t="s">
        <v>23</v>
      </c>
      <c r="C12" s="6" t="n">
        <f aca="false">COUNTA(A5:A10)</f>
        <v>6</v>
      </c>
      <c r="D12" s="6"/>
    </row>
  </sheetData>
  <mergeCells count="2">
    <mergeCell ref="A1:D1"/>
    <mergeCell ref="A2:D2"/>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16"/>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E42" activeCellId="0" sqref="E42"/>
    </sheetView>
  </sheetViews>
  <sheetFormatPr defaultColWidth="8.75" defaultRowHeight="13.8" zeroHeight="false" outlineLevelRow="0" outlineLevelCol="0"/>
  <cols>
    <col collapsed="false" customWidth="true" hidden="false" outlineLevel="0" max="1" min="1" style="1" width="6.01"/>
    <col collapsed="false" customWidth="true" hidden="false" outlineLevel="0" max="2" min="2" style="1" width="9"/>
    <col collapsed="false" customWidth="true" hidden="false" outlineLevel="0" max="3" min="3" style="1" width="10.99"/>
    <col collapsed="false" customWidth="true" hidden="false" outlineLevel="0" max="4" min="4" style="1" width="15"/>
    <col collapsed="false" customWidth="true" hidden="false" outlineLevel="0" max="5" min="5" style="1" width="10.99"/>
    <col collapsed="false" customWidth="true" hidden="false" outlineLevel="0" max="6" min="6" style="1" width="11.99"/>
    <col collapsed="false" customWidth="true" hidden="false" outlineLevel="0" max="7" min="7" style="1" width="40"/>
    <col collapsed="false" customWidth="true" hidden="false" outlineLevel="0" max="8" min="8" style="1" width="30.02"/>
    <col collapsed="false" customWidth="true" hidden="false" outlineLevel="0" max="9" min="9" style="1" width="10"/>
    <col collapsed="false" customWidth="true" hidden="false" outlineLevel="0" max="10" min="10" style="1" width="10.99"/>
    <col collapsed="false" customWidth="true" hidden="false" outlineLevel="0" max="11" min="11" style="1" width="54.98"/>
    <col collapsed="false" customWidth="true" hidden="false" outlineLevel="0" max="12" min="12" style="1" width="30.02"/>
    <col collapsed="false" customWidth="true" hidden="false" outlineLevel="0" max="1024" min="1024" style="1" width="11.52"/>
  </cols>
  <sheetData>
    <row r="1" customFormat="false" ht="16.15" hidden="false" customHeight="true" outlineLevel="0" collapsed="false">
      <c r="A1" s="2" t="s">
        <v>24</v>
      </c>
      <c r="B1" s="2"/>
      <c r="C1" s="2"/>
      <c r="D1" s="2"/>
      <c r="E1" s="2"/>
      <c r="F1" s="2"/>
      <c r="G1" s="2"/>
      <c r="H1" s="2"/>
      <c r="I1" s="2"/>
      <c r="J1" s="2"/>
      <c r="K1" s="2"/>
      <c r="L1" s="2"/>
    </row>
    <row r="2" customFormat="false" ht="39.75" hidden="false" customHeight="true" outlineLevel="0" collapsed="false">
      <c r="A2" s="3" t="s">
        <v>25</v>
      </c>
      <c r="B2" s="3"/>
      <c r="C2" s="3"/>
      <c r="D2" s="3"/>
      <c r="E2" s="3"/>
      <c r="F2" s="3"/>
      <c r="G2" s="3"/>
      <c r="H2" s="3"/>
      <c r="I2" s="3"/>
      <c r="J2" s="3"/>
      <c r="K2" s="3"/>
      <c r="L2" s="3"/>
    </row>
    <row r="3" customFormat="false" ht="13.8" hidden="false" customHeight="false" outlineLevel="0" collapsed="false">
      <c r="A3" s="7" t="s">
        <v>26</v>
      </c>
    </row>
    <row r="4" customFormat="false" ht="13.8" hidden="false" customHeight="true" outlineLevel="0" collapsed="false">
      <c r="A4" s="4" t="s">
        <v>27</v>
      </c>
      <c r="B4" s="4" t="s">
        <v>28</v>
      </c>
      <c r="C4" s="4" t="s">
        <v>29</v>
      </c>
      <c r="D4" s="4" t="s">
        <v>30</v>
      </c>
      <c r="E4" s="4" t="s">
        <v>31</v>
      </c>
      <c r="F4" s="4" t="s">
        <v>32</v>
      </c>
      <c r="G4" s="4" t="s">
        <v>33</v>
      </c>
      <c r="H4" s="4" t="s">
        <v>34</v>
      </c>
      <c r="I4" s="4" t="s">
        <v>35</v>
      </c>
      <c r="J4" s="4" t="s">
        <v>36</v>
      </c>
      <c r="K4" s="4" t="s">
        <v>37</v>
      </c>
      <c r="L4" s="4" t="s">
        <v>38</v>
      </c>
    </row>
    <row r="5" customFormat="false" ht="23.85" hidden="false" customHeight="true" outlineLevel="0" collapsed="false">
      <c r="A5" s="5" t="s">
        <v>39</v>
      </c>
      <c r="B5" s="5"/>
      <c r="C5" s="5" t="s">
        <v>40</v>
      </c>
      <c r="D5" s="5" t="s">
        <v>41</v>
      </c>
      <c r="E5" s="5" t="s">
        <v>42</v>
      </c>
      <c r="F5" s="5" t="s">
        <v>43</v>
      </c>
      <c r="G5" s="5" t="s">
        <v>44</v>
      </c>
      <c r="H5" s="5" t="s">
        <v>45</v>
      </c>
      <c r="I5" s="5" t="s">
        <v>46</v>
      </c>
      <c r="J5" s="5" t="s">
        <v>47</v>
      </c>
      <c r="K5" s="5" t="s">
        <v>48</v>
      </c>
      <c r="L5" s="5" t="s">
        <v>49</v>
      </c>
    </row>
    <row r="6" customFormat="false" ht="23.85" hidden="false" customHeight="true" outlineLevel="0" collapsed="false">
      <c r="A6" s="5" t="s">
        <v>50</v>
      </c>
      <c r="B6" s="5" t="s">
        <v>39</v>
      </c>
      <c r="C6" s="5" t="s">
        <v>51</v>
      </c>
      <c r="D6" s="5" t="s">
        <v>52</v>
      </c>
      <c r="E6" s="5" t="s">
        <v>53</v>
      </c>
      <c r="F6" s="5" t="s">
        <v>54</v>
      </c>
      <c r="G6" s="5" t="s">
        <v>55</v>
      </c>
      <c r="H6" s="5" t="s">
        <v>56</v>
      </c>
      <c r="I6" s="5" t="s">
        <v>46</v>
      </c>
      <c r="J6" s="5" t="s">
        <v>47</v>
      </c>
      <c r="K6" s="5" t="s">
        <v>57</v>
      </c>
      <c r="L6" s="5" t="s">
        <v>58</v>
      </c>
    </row>
    <row r="7" customFormat="false" ht="23.85" hidden="false" customHeight="true" outlineLevel="0" collapsed="false">
      <c r="A7" s="5" t="s">
        <v>59</v>
      </c>
      <c r="B7" s="5" t="s">
        <v>39</v>
      </c>
      <c r="C7" s="5" t="s">
        <v>51</v>
      </c>
      <c r="D7" s="5" t="s">
        <v>52</v>
      </c>
      <c r="E7" s="5" t="s">
        <v>60</v>
      </c>
      <c r="F7" s="5" t="s">
        <v>61</v>
      </c>
      <c r="G7" s="5" t="s">
        <v>62</v>
      </c>
      <c r="H7" s="5" t="s">
        <v>63</v>
      </c>
      <c r="I7" s="5" t="s">
        <v>46</v>
      </c>
      <c r="J7" s="5" t="s">
        <v>47</v>
      </c>
      <c r="K7" s="5" t="s">
        <v>64</v>
      </c>
      <c r="L7" s="5" t="s">
        <v>8</v>
      </c>
    </row>
    <row r="8" customFormat="false" ht="23.85" hidden="false" customHeight="true" outlineLevel="0" collapsed="false">
      <c r="A8" s="5" t="s">
        <v>65</v>
      </c>
      <c r="B8" s="5" t="s">
        <v>39</v>
      </c>
      <c r="C8" s="5" t="s">
        <v>51</v>
      </c>
      <c r="D8" s="5" t="s">
        <v>52</v>
      </c>
      <c r="E8" s="5" t="s">
        <v>60</v>
      </c>
      <c r="F8" s="5" t="s">
        <v>66</v>
      </c>
      <c r="G8" s="5" t="s">
        <v>67</v>
      </c>
      <c r="H8" s="5" t="s">
        <v>63</v>
      </c>
      <c r="I8" s="5" t="s">
        <v>46</v>
      </c>
      <c r="J8" s="5" t="s">
        <v>47</v>
      </c>
      <c r="K8" s="5" t="s">
        <v>68</v>
      </c>
      <c r="L8" s="5" t="s">
        <v>11</v>
      </c>
    </row>
    <row r="9" customFormat="false" ht="23.85" hidden="false" customHeight="true" outlineLevel="0" collapsed="false">
      <c r="A9" s="5" t="s">
        <v>69</v>
      </c>
      <c r="B9" s="5" t="s">
        <v>39</v>
      </c>
      <c r="C9" s="5" t="s">
        <v>51</v>
      </c>
      <c r="D9" s="5" t="s">
        <v>52</v>
      </c>
      <c r="E9" s="5" t="s">
        <v>70</v>
      </c>
      <c r="F9" s="5" t="s">
        <v>71</v>
      </c>
      <c r="G9" s="5" t="s">
        <v>72</v>
      </c>
      <c r="H9" s="5" t="s">
        <v>63</v>
      </c>
      <c r="I9" s="5" t="s">
        <v>46</v>
      </c>
      <c r="J9" s="5" t="s">
        <v>47</v>
      </c>
      <c r="K9" s="5" t="s">
        <v>73</v>
      </c>
      <c r="L9" s="5" t="s">
        <v>74</v>
      </c>
    </row>
    <row r="10" customFormat="false" ht="23.85" hidden="false" customHeight="true" outlineLevel="0" collapsed="false">
      <c r="A10" s="5" t="s">
        <v>75</v>
      </c>
      <c r="B10" s="5" t="s">
        <v>50</v>
      </c>
      <c r="C10" s="5" t="s">
        <v>76</v>
      </c>
      <c r="D10" s="5" t="s">
        <v>52</v>
      </c>
      <c r="E10" s="5" t="s">
        <v>77</v>
      </c>
      <c r="F10" s="5" t="s">
        <v>78</v>
      </c>
      <c r="G10" s="5" t="s">
        <v>79</v>
      </c>
      <c r="H10" s="5" t="s">
        <v>56</v>
      </c>
      <c r="I10" s="5" t="s">
        <v>46</v>
      </c>
      <c r="J10" s="5" t="s">
        <v>47</v>
      </c>
      <c r="K10" s="5" t="s">
        <v>80</v>
      </c>
      <c r="L10" s="5" t="s">
        <v>5</v>
      </c>
    </row>
    <row r="11" customFormat="false" ht="23.85" hidden="false" customHeight="true" outlineLevel="0" collapsed="false">
      <c r="A11" s="5" t="s">
        <v>81</v>
      </c>
      <c r="B11" s="5" t="s">
        <v>69</v>
      </c>
      <c r="C11" s="5" t="s">
        <v>76</v>
      </c>
      <c r="D11" s="5" t="s">
        <v>52</v>
      </c>
      <c r="E11" s="5" t="s">
        <v>77</v>
      </c>
      <c r="F11" s="5" t="s">
        <v>82</v>
      </c>
      <c r="G11" s="5" t="s">
        <v>83</v>
      </c>
      <c r="H11" s="5" t="s">
        <v>63</v>
      </c>
      <c r="I11" s="5" t="s">
        <v>46</v>
      </c>
      <c r="J11" s="5" t="s">
        <v>47</v>
      </c>
      <c r="K11" s="5" t="s">
        <v>84</v>
      </c>
      <c r="L11" s="5" t="s">
        <v>14</v>
      </c>
    </row>
    <row r="12" customFormat="false" ht="23.85" hidden="false" customHeight="true" outlineLevel="0" collapsed="false">
      <c r="A12" s="5" t="s">
        <v>85</v>
      </c>
      <c r="B12" s="5" t="s">
        <v>69</v>
      </c>
      <c r="C12" s="5" t="s">
        <v>76</v>
      </c>
      <c r="D12" s="5" t="s">
        <v>52</v>
      </c>
      <c r="E12" s="5" t="s">
        <v>77</v>
      </c>
      <c r="F12" s="5" t="s">
        <v>86</v>
      </c>
      <c r="G12" s="5" t="s">
        <v>87</v>
      </c>
      <c r="H12" s="5" t="s">
        <v>56</v>
      </c>
      <c r="I12" s="5" t="s">
        <v>46</v>
      </c>
      <c r="J12" s="5" t="s">
        <v>47</v>
      </c>
      <c r="K12" s="5" t="s">
        <v>88</v>
      </c>
      <c r="L12" s="5" t="s">
        <v>17</v>
      </c>
    </row>
    <row r="13" customFormat="false" ht="13.8" hidden="false" customHeight="false" outlineLevel="0" collapsed="false">
      <c r="A13" s="5" t="s">
        <v>89</v>
      </c>
      <c r="B13" s="5" t="s">
        <v>69</v>
      </c>
      <c r="C13" s="5" t="s">
        <v>76</v>
      </c>
      <c r="D13" s="5" t="s">
        <v>52</v>
      </c>
      <c r="E13" s="5" t="s">
        <v>77</v>
      </c>
      <c r="F13" s="5" t="s">
        <v>78</v>
      </c>
      <c r="G13" s="5" t="s">
        <v>90</v>
      </c>
      <c r="H13" s="5" t="s">
        <v>91</v>
      </c>
      <c r="I13" s="5" t="s">
        <v>46</v>
      </c>
      <c r="J13" s="5" t="s">
        <v>47</v>
      </c>
      <c r="K13" s="5" t="s">
        <v>92</v>
      </c>
      <c r="L13" s="5" t="s">
        <v>20</v>
      </c>
    </row>
    <row r="14" customFormat="false" ht="13.8" hidden="false" customHeight="true" outlineLevel="0" collapsed="false"/>
    <row r="15" customFormat="false" ht="13.8" hidden="false" customHeight="true" outlineLevel="0" collapsed="false">
      <c r="A15" s="6"/>
      <c r="B15" s="6"/>
      <c r="C15" s="6"/>
      <c r="D15" s="6"/>
      <c r="E15" s="6"/>
      <c r="F15" s="6"/>
      <c r="G15" s="6"/>
      <c r="H15" s="6"/>
      <c r="I15" s="6"/>
      <c r="J15" s="6"/>
      <c r="K15" s="6"/>
      <c r="L15" s="6" t="s">
        <v>93</v>
      </c>
      <c r="M15" s="1" t="n">
        <f aca="false">COUNTA(A5:A13)</f>
        <v>9</v>
      </c>
    </row>
    <row r="16" customFormat="false" ht="13.8" hidden="false" customHeight="false" outlineLevel="0" collapsed="false">
      <c r="A16" s="6"/>
      <c r="B16" s="6"/>
      <c r="C16" s="6"/>
      <c r="D16" s="6"/>
      <c r="E16" s="6"/>
      <c r="F16" s="6"/>
      <c r="G16" s="6"/>
      <c r="H16" s="6"/>
      <c r="I16" s="6"/>
      <c r="J16" s="6"/>
      <c r="K16" s="6"/>
      <c r="L16" s="6" t="s">
        <v>94</v>
      </c>
      <c r="M16" s="1" t="n">
        <f aca="false">COUNTIF(L5:L13,"GT-*")</f>
        <v>6</v>
      </c>
    </row>
  </sheetData>
  <mergeCells count="2">
    <mergeCell ref="A1:L1"/>
    <mergeCell ref="A2:L2"/>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C1" colorId="64" zoomScale="140" zoomScaleNormal="140" zoomScalePageLayoutView="100" workbookViewId="0">
      <selection pane="topLeft" activeCell="D8" activeCellId="0" sqref="D8"/>
    </sheetView>
  </sheetViews>
  <sheetFormatPr defaultColWidth="8.75" defaultRowHeight="15" zeroHeight="false" outlineLevelRow="0" outlineLevelCol="0"/>
  <cols>
    <col collapsed="false" customWidth="true" hidden="false" outlineLevel="0" max="1" min="1" style="1" width="3.98"/>
    <col collapsed="false" customWidth="true" hidden="false" outlineLevel="0" max="3" min="2" style="1" width="54.98"/>
    <col collapsed="false" customWidth="true" hidden="false" outlineLevel="0" max="4" min="4" style="1" width="49.05"/>
  </cols>
  <sheetData>
    <row r="1" customFormat="false" ht="16.15" hidden="false" customHeight="true" outlineLevel="0" collapsed="false">
      <c r="A1" s="2" t="s">
        <v>95</v>
      </c>
      <c r="B1" s="2"/>
      <c r="C1" s="2"/>
      <c r="D1" s="2"/>
    </row>
    <row r="2" customFormat="false" ht="39.75" hidden="false" customHeight="true" outlineLevel="0" collapsed="false">
      <c r="A2" s="3" t="s">
        <v>96</v>
      </c>
      <c r="B2" s="3"/>
      <c r="C2" s="3"/>
      <c r="D2" s="3"/>
    </row>
    <row r="4" customFormat="false" ht="15" hidden="false" customHeight="true" outlineLevel="0" collapsed="false">
      <c r="A4" s="4" t="s">
        <v>97</v>
      </c>
      <c r="B4" s="4" t="s">
        <v>98</v>
      </c>
      <c r="C4" s="4" t="s">
        <v>99</v>
      </c>
      <c r="D4" s="4" t="s">
        <v>100</v>
      </c>
    </row>
    <row r="5" customFormat="false" ht="23.85" hidden="false" customHeight="true" outlineLevel="0" collapsed="false">
      <c r="A5" s="5" t="n">
        <v>1</v>
      </c>
      <c r="B5" s="5" t="s">
        <v>101</v>
      </c>
      <c r="C5" s="5" t="s">
        <v>102</v>
      </c>
      <c r="D5" s="5" t="s">
        <v>103</v>
      </c>
    </row>
    <row r="6" customFormat="false" ht="169.6" hidden="false" customHeight="true" outlineLevel="0" collapsed="false">
      <c r="A6" s="5" t="n">
        <v>2</v>
      </c>
      <c r="B6" s="5" t="s">
        <v>104</v>
      </c>
      <c r="C6" s="5" t="s">
        <v>105</v>
      </c>
      <c r="D6" s="5" t="s">
        <v>106</v>
      </c>
    </row>
    <row r="7" customFormat="false" ht="23.85" hidden="false" customHeight="true" outlineLevel="0" collapsed="false">
      <c r="A7" s="5" t="n">
        <v>3</v>
      </c>
      <c r="B7" s="5" t="s">
        <v>107</v>
      </c>
      <c r="C7" s="5" t="s">
        <v>108</v>
      </c>
      <c r="D7" s="5" t="s">
        <v>103</v>
      </c>
    </row>
    <row r="8" customFormat="false" ht="236.75" hidden="false" customHeight="true" outlineLevel="0" collapsed="false">
      <c r="A8" s="5" t="n">
        <v>4</v>
      </c>
      <c r="B8" s="5" t="s">
        <v>109</v>
      </c>
      <c r="C8" s="5" t="s">
        <v>110</v>
      </c>
      <c r="D8" s="5" t="s">
        <v>111</v>
      </c>
      <c r="E8" s="1" t="s">
        <v>112</v>
      </c>
    </row>
    <row r="9" customFormat="false" ht="202.8" hidden="false" customHeight="true" outlineLevel="0" collapsed="false">
      <c r="A9" s="8" t="n">
        <v>5</v>
      </c>
      <c r="B9" s="8" t="s">
        <v>113</v>
      </c>
      <c r="C9" s="8" t="s">
        <v>114</v>
      </c>
      <c r="D9" s="8" t="s">
        <v>115</v>
      </c>
    </row>
    <row r="10" customFormat="false" ht="281.5" hidden="false" customHeight="true" outlineLevel="0" collapsed="false">
      <c r="A10" s="5" t="n">
        <v>6</v>
      </c>
      <c r="B10" s="5" t="s">
        <v>116</v>
      </c>
      <c r="C10" s="5" t="s">
        <v>117</v>
      </c>
      <c r="D10" s="5" t="s">
        <v>118</v>
      </c>
    </row>
    <row r="11" customFormat="false" ht="102.4" hidden="false" customHeight="true" outlineLevel="0" collapsed="false">
      <c r="A11" s="5" t="n">
        <v>7</v>
      </c>
      <c r="B11" s="5" t="s">
        <v>119</v>
      </c>
      <c r="C11" s="5" t="s">
        <v>120</v>
      </c>
      <c r="D11" s="5" t="s">
        <v>121</v>
      </c>
    </row>
    <row r="12" customFormat="false" ht="23.85" hidden="false" customHeight="true" outlineLevel="0" collapsed="false">
      <c r="A12" s="5" t="n">
        <v>8</v>
      </c>
      <c r="B12" s="5" t="s">
        <v>122</v>
      </c>
      <c r="C12" s="5" t="s">
        <v>123</v>
      </c>
      <c r="D12" s="5" t="s">
        <v>103</v>
      </c>
    </row>
    <row r="13" customFormat="false" ht="113" hidden="false" customHeight="false" outlineLevel="0" collapsed="false">
      <c r="A13" s="1" t="n">
        <v>9</v>
      </c>
      <c r="B13" s="7" t="s">
        <v>124</v>
      </c>
      <c r="C13" s="7" t="s">
        <v>125</v>
      </c>
      <c r="D13" s="7" t="s">
        <v>126</v>
      </c>
    </row>
    <row r="14" customFormat="false" ht="124.2" hidden="false" customHeight="false" outlineLevel="0" collapsed="false">
      <c r="A14" s="1" t="n">
        <v>10</v>
      </c>
      <c r="B14" s="7" t="s">
        <v>127</v>
      </c>
      <c r="C14" s="7" t="s">
        <v>128</v>
      </c>
      <c r="D14" s="7" t="s">
        <v>129</v>
      </c>
    </row>
    <row r="15" customFormat="false" ht="224.9" hidden="false" customHeight="false" outlineLevel="0" collapsed="false">
      <c r="A15" s="1" t="n">
        <v>11</v>
      </c>
      <c r="B15" s="7" t="s">
        <v>130</v>
      </c>
      <c r="C15" s="7" t="s">
        <v>131</v>
      </c>
      <c r="D15" s="7" t="s">
        <v>132</v>
      </c>
    </row>
    <row r="16" customFormat="false" ht="280.9" hidden="false" customHeight="false" outlineLevel="0" collapsed="false">
      <c r="A16" s="1" t="n">
        <v>12</v>
      </c>
      <c r="B16" s="1" t="s">
        <v>133</v>
      </c>
      <c r="C16" s="1" t="s">
        <v>134</v>
      </c>
      <c r="D16" s="9" t="s">
        <v>135</v>
      </c>
    </row>
    <row r="17" customFormat="false" ht="57" hidden="false" customHeight="false" outlineLevel="0" collapsed="false">
      <c r="A17" s="1" t="n">
        <v>13</v>
      </c>
      <c r="B17" s="1" t="s">
        <v>136</v>
      </c>
      <c r="C17" s="1" t="s">
        <v>137</v>
      </c>
      <c r="D17" s="9" t="s">
        <v>138</v>
      </c>
    </row>
    <row r="18" customFormat="false" ht="90.6" hidden="false" customHeight="false" outlineLevel="0" collapsed="false">
      <c r="A18" s="1" t="n">
        <v>14</v>
      </c>
      <c r="B18" s="1" t="s">
        <v>139</v>
      </c>
      <c r="C18" s="1" t="s">
        <v>140</v>
      </c>
      <c r="D18" s="9" t="s">
        <v>141</v>
      </c>
    </row>
  </sheetData>
  <mergeCells count="2">
    <mergeCell ref="A1:D1"/>
    <mergeCell ref="A2:D2"/>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B41" activeCellId="0" sqref="B41"/>
    </sheetView>
  </sheetViews>
  <sheetFormatPr defaultColWidth="8.72265625" defaultRowHeight="15" zeroHeight="false" outlineLevelRow="0" outlineLevelCol="0"/>
  <cols>
    <col collapsed="false" customWidth="true" hidden="false" outlineLevel="0" max="1" min="1" style="9" width="44"/>
    <col collapsed="false" customWidth="true" hidden="false" outlineLevel="0" max="2" min="2" style="9" width="118"/>
  </cols>
  <sheetData>
    <row r="1" customFormat="false" ht="15" hidden="false" customHeight="false" outlineLevel="0" collapsed="false">
      <c r="A1" s="7" t="s">
        <v>142</v>
      </c>
      <c r="B1" s="7"/>
    </row>
    <row r="2" customFormat="false" ht="35.05" hidden="false" customHeight="false" outlineLevel="0" collapsed="false">
      <c r="A2" s="7" t="s">
        <v>143</v>
      </c>
      <c r="B2" s="7"/>
    </row>
    <row r="3" customFormat="false" ht="15" hidden="false" customHeight="false" outlineLevel="0" collapsed="false">
      <c r="A3" s="7"/>
      <c r="B3" s="7"/>
    </row>
    <row r="4" customFormat="false" ht="15" hidden="false" customHeight="false" outlineLevel="0" collapsed="false">
      <c r="A4" s="7" t="s">
        <v>144</v>
      </c>
      <c r="B4" s="7" t="s">
        <v>145</v>
      </c>
    </row>
    <row r="5" customFormat="false" ht="15" hidden="false" customHeight="false" outlineLevel="0" collapsed="false">
      <c r="A5" s="7" t="s">
        <v>146</v>
      </c>
      <c r="B5" s="7" t="s">
        <v>147</v>
      </c>
    </row>
    <row r="6" customFormat="false" ht="15" hidden="false" customHeight="false" outlineLevel="0" collapsed="false">
      <c r="A6" s="7" t="s">
        <v>148</v>
      </c>
      <c r="B6" s="7" t="s">
        <v>149</v>
      </c>
    </row>
    <row r="7" customFormat="false" ht="15" hidden="false" customHeight="false" outlineLevel="0" collapsed="false">
      <c r="A7" s="7" t="s">
        <v>150</v>
      </c>
      <c r="B7" s="7" t="s">
        <v>151</v>
      </c>
    </row>
    <row r="8" customFormat="false" ht="15" hidden="false" customHeight="false" outlineLevel="0" collapsed="false">
      <c r="A8" s="7" t="s">
        <v>152</v>
      </c>
      <c r="B8" s="7" t="s">
        <v>153</v>
      </c>
    </row>
    <row r="9" customFormat="false" ht="15" hidden="false" customHeight="false" outlineLevel="0" collapsed="false">
      <c r="A9" s="7"/>
      <c r="B9" s="7"/>
    </row>
    <row r="10" customFormat="false" ht="23.85" hidden="false" customHeight="false" outlineLevel="0" collapsed="false">
      <c r="A10" s="7" t="s">
        <v>154</v>
      </c>
      <c r="B10" s="7" t="s">
        <v>155</v>
      </c>
    </row>
    <row r="11" customFormat="false" ht="15" hidden="false" customHeight="false" outlineLevel="0" collapsed="false">
      <c r="A11" s="7"/>
      <c r="B11" s="7"/>
    </row>
    <row r="12" customFormat="false" ht="35.05" hidden="false" customHeight="false" outlineLevel="0" collapsed="false">
      <c r="A12" s="7" t="s">
        <v>156</v>
      </c>
      <c r="B12" s="7" t="s">
        <v>157</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LibreOffice/6.4.6.2$Windows_X86_64 LibreOffice_project/0ce51a4fd21bff07a5c061082cc82c5ed232f115</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2026-07-20T02:31:29Z</dcterms:created>
  <dc:creator>openpyxl</dc:creator>
  <dc:description/>
  <dc:language>en-US</dc:language>
  <cp:lastModifiedBy/>
  <dcterms:modified xsi:type="dcterms:W3CDTF">2026-07-30T21:22:35Z</dcterms:modified>
  <cp:revision>31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