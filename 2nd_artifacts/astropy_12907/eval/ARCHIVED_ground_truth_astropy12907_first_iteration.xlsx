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_key" sheetId="1" state="visible" r:id="rId2"/>
    <sheet name="GT_tree" sheetId="2" state="visible" r:id="rId3"/>
    <sheet name="Adjudication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<sst xmlns="http://schemas.openxmlformats.org/spreadsheetml/2006/main" count="186" uniqueCount="117">
  <si>
    <t xml:space="preserve">Ground truth answer key: astropy__astropy-12907 (DRAFT)</t>
  </si>
  <si>
    <t xml:space="preserve">Required steps implied by the intent, each grounded in the issue text or benchmark artifacts. Every row is provisional: Author adjudicates (accept / edit / strike) and sets Status. Edit only the Status and text cells of the highlighted rows.</t>
  </si>
  <si>
    <t xml:space="preserve">GT id</t>
  </si>
  <si>
    <t xml:space="preserve">Required step</t>
  </si>
  <si>
    <t xml:space="preserve">Grounded in (Ctrl-F anchor)</t>
  </si>
  <si>
    <t xml:space="preserve">Status</t>
  </si>
  <si>
    <t xml:space="preserve">GT-01</t>
  </si>
  <si>
    <t xml:space="preserve">Reproduce the reported incorrect behavior using the reproduction the intent supplies</t>
  </si>
  <si>
    <t xml:space="preserve">intent: 'Suddenly the inputs and outputs are no longer separable?' plus the three ```python blocks</t>
  </si>
  <si>
    <t xml:space="preserve">PROVISIONAL</t>
  </si>
  <si>
    <t xml:space="preserve">GT-02</t>
  </si>
  <si>
    <t xml:space="preserve">Localize the defect within the separability computation</t>
  </si>
  <si>
    <t xml:space="preserve">intent: 'does not compute separability correctly' names the failing capability but no location, so locating is implied work</t>
  </si>
  <si>
    <t xml:space="preserve">GT-03</t>
  </si>
  <si>
    <t xml:space="preserve">Characterize why nesting specifically breaks the computation</t>
  </si>
  <si>
    <t xml:space="preserve">intent contrasts flat vs nested outcomes across its three examples</t>
  </si>
  <si>
    <t xml:space="preserve">GT-04</t>
  </si>
  <si>
    <t xml:space="preserve">Correct the computation so nested CompoundModels yield the expected matrix</t>
  </si>
  <si>
    <t xml:space="preserve">reference patch: one-line _cstack fix (cright[...] = right); the intent's core obligation</t>
  </si>
  <si>
    <t xml:space="preserve">GT-05</t>
  </si>
  <si>
    <t xml:space="preserve">Verify the reported case now yields the expected output</t>
  </si>
  <si>
    <t xml:space="preserve">intent supplies the expected diagonal/block matrices as the oracle</t>
  </si>
  <si>
    <t xml:space="preserve">GT-06</t>
  </si>
  <si>
    <t xml:space="preserve">Preserve existing separability behavior (no regressions)</t>
  </si>
  <si>
    <t xml:space="preserve">benchmark PASS_TO_PASS: 13 existing tests must keep passing; implied by 'fix correctly'</t>
  </si>
  <si>
    <t xml:space="preserve">Answer-key steps counted:</t>
  </si>
  <si>
    <t xml:space="preserve">Ground truth policy tree: astropy__astropy-12907 (DRAFT)</t>
  </si>
  <si>
    <t xml:space="preserve">Draft reference tree the structured and unstructured plans are scored against. Working nodes map 1:1 to answer-key steps via Realizes; structural nodes are labeled scaffolding. The arbitrate row extends the project's safety-first invariant convention to a repair intent and needs adjudication (see Adjudication item 5). Edit highlighted cells; set Status per row.</t>
  </si>
  <si>
    <t xml:space="preserve">id</t>
  </si>
  <si>
    <t xml:space="preserve">parent_id</t>
  </si>
  <si>
    <t xml:space="preserve">level</t>
  </si>
  <si>
    <t xml:space="preserve">definer</t>
  </si>
  <si>
    <t xml:space="preserve">enforcer</t>
  </si>
  <si>
    <t xml:space="preserve">action</t>
  </si>
  <si>
    <t xml:space="preserve">resource</t>
  </si>
  <si>
    <t xml:space="preserve">spatial</t>
  </si>
  <si>
    <t xml:space="preserve">temporal</t>
  </si>
  <si>
    <t xml:space="preserve">context</t>
  </si>
  <si>
    <t xml:space="preserve">rationale</t>
  </si>
  <si>
    <t xml:space="preserve">Realizes</t>
  </si>
  <si>
    <t xml:space="preserve">P0</t>
  </si>
  <si>
    <t xml:space="preserve">declarative</t>
  </si>
  <si>
    <t xml:space="preserve">human operator</t>
  </si>
  <si>
    <t xml:space="preserve">Orchestrator</t>
  </si>
  <si>
    <t xml:space="preserve">fix</t>
  </si>
  <si>
    <t xml:space="preserve">separability computation for nested CompoundModels</t>
  </si>
  <si>
    <t xml:space="preserve">astropy repository</t>
  </si>
  <si>
    <t xml:space="preserve">always</t>
  </si>
  <si>
    <t xml:space="preserve">production</t>
  </si>
  <si>
    <t xml:space="preserve">Restates the raw intent as the root declarative policy.</t>
  </si>
  <si>
    <t xml:space="preserve">scaffolding (root)</t>
  </si>
  <si>
    <t xml:space="preserve">P1</t>
  </si>
  <si>
    <t xml:space="preserve">definitive</t>
  </si>
  <si>
    <t xml:space="preserve">assurance engine</t>
  </si>
  <si>
    <t xml:space="preserve">Analyze</t>
  </si>
  <si>
    <t xml:space="preserve">locate</t>
  </si>
  <si>
    <t xml:space="preserve">code path computing separability for CompoundModels</t>
  </si>
  <si>
    <t xml:space="preserve">astropy/modeling/separable.py</t>
  </si>
  <si>
    <t xml:space="preserve">The intent gives the failing capability but no location, so the defect must be located before it can be characterized or fixed.</t>
  </si>
  <si>
    <t xml:space="preserve">P2</t>
  </si>
  <si>
    <t xml:space="preserve">characterize</t>
  </si>
  <si>
    <t xml:space="preserve">difference in matrix assembly between flat and nested operands</t>
  </si>
  <si>
    <t xml:space="preserve">Why nesting diverges from the flat case must be understood before a correct fix can be planned.</t>
  </si>
  <si>
    <t xml:space="preserve">P3</t>
  </si>
  <si>
    <t xml:space="preserve">Plan</t>
  </si>
  <si>
    <t xml:space="preserve">decide</t>
  </si>
  <si>
    <t xml:space="preserve">repair strategy for the characterized defect</t>
  </si>
  <si>
    <t xml:space="preserve">A fix, its verification, and regression protection are planned from the characterization before anything executes.</t>
  </si>
  <si>
    <t xml:space="preserve">scaffolding (plan hub)</t>
  </si>
  <si>
    <t xml:space="preserve">P4</t>
  </si>
  <si>
    <t xml:space="preserve">imperative</t>
  </si>
  <si>
    <t xml:space="preserve">Execute</t>
  </si>
  <si>
    <t xml:space="preserve">run</t>
  </si>
  <si>
    <t xml:space="preserve">reproduction script from the intent's code blocks</t>
  </si>
  <si>
    <t xml:space="preserve">local repository workspace</t>
  </si>
  <si>
    <t xml:space="preserve">Running the supplied reproduction confirms the defect exists in the current code and establishes the baseline for later verification.</t>
  </si>
  <si>
    <t xml:space="preserve">P5</t>
  </si>
  <si>
    <t xml:space="preserve">edit</t>
  </si>
  <si>
    <t xml:space="preserve">the defective assembly step in separable.py</t>
  </si>
  <si>
    <t xml:space="preserve">Applying the planned correction to the located step realizes the intent's core obligation.</t>
  </si>
  <si>
    <t xml:space="preserve">P6</t>
  </si>
  <si>
    <t xml:space="preserve">validate</t>
  </si>
  <si>
    <t xml:space="preserve">reported nested case against the intent's expected matrices</t>
  </si>
  <si>
    <t xml:space="preserve">The intent supplies the expected output; the patched code must reproduce it for the reported case.</t>
  </si>
  <si>
    <t xml:space="preserve">P7</t>
  </si>
  <si>
    <t xml:space="preserve">existing separability test suite</t>
  </si>
  <si>
    <t xml:space="preserve">astropy/modeling/tests/test_separable.py</t>
  </si>
  <si>
    <t xml:space="preserve">A correct fix must not alter previously correct behavior, which the existing suite checks.</t>
  </si>
  <si>
    <t xml:space="preserve">P8</t>
  </si>
  <si>
    <t xml:space="preserve">arbitrate</t>
  </si>
  <si>
    <t xml:space="preserve">scope of permitted changes (minimal, defect-local edits only)</t>
  </si>
  <si>
    <t xml:space="preserve">Safety-first invariant: enforcement and repair actions must stay within the minimal scope the intent justifies. Derived by convention, not traceable to the intent text.</t>
  </si>
  <si>
    <t xml:space="preserve">safety-first invariant (derived; excluded from recall)</t>
  </si>
  <si>
    <t xml:space="preserve">total nodes:</t>
  </si>
  <si>
    <t xml:space="preserve">working nodes (Realizes GT-*):</t>
  </si>
  <si>
    <t xml:space="preserve">Adjudication list: decisions that are John's (and Dr. Nasim's)</t>
  </si>
  <si>
    <t xml:space="preserve">Each row is a judgment call the draft could not make. Record the ruling in the last column; rulings override every draft row in the other sheets.</t>
  </si>
  <si>
    <t xml:space="preserve">#</t>
  </si>
  <si>
    <t xml:space="preserve">Decision needed</t>
  </si>
  <si>
    <t xml:space="preserve">Draft recommendation</t>
  </si>
  <si>
    <t xml:space="preserve">John's ruling</t>
  </si>
  <si>
    <t xml:space="preserve">GT-06 scope: is 'preserve existing behavior' an implied step of 'fix correctly'?</t>
  </si>
  <si>
    <t xml:space="preserve">Yes; grounded in PASS_TO_PASS being part of resolved.</t>
  </si>
  <si>
    <t xml:space="preserve">Are NEW regression tests (model's P4.2/P6/P6.1) inside the intent or beyond it?</t>
  </si>
  <si>
    <t xml:space="preserve">Beyond-intent: the user asked for a fix, not tests; the benchmark's test_patch is the oracle, not a user request. Score those nodes in precision like the tag/alert precedent.</t>
  </si>
  <si>
    <t xml:space="preserve">Model's P7 delivery branch (commit, submit PR): relevant for precision?</t>
  </si>
  <si>
    <t xml:space="preserve">Beyond-intent; same precedent as item 2.</t>
  </si>
  <si>
    <t xml:space="preserve">Model tree has imperative-under-imperative chains (P5.1 under P5; P6.1 under P6), a shape prior trees never had.</t>
  </si>
  <si>
    <t xml:space="preserve">Surface to Dr. Nasim; request does not forbid it; no GT change.</t>
  </si>
  <si>
    <t xml:space="preserve">Does the safety-first invariant (arbitrate) convention extend to repair-style intents? (GT row P8)</t>
  </si>
  <si>
    <t xml:space="preserve">Keep for cross-GT uniformity, excluded from recall as always; strike if Dr. Nasim rules it enforcement-only.</t>
  </si>
  <si>
    <t xml:space="preserve">Model's P1 Monitor node: does a one-shot repair intent warrant a continuous Monitor policy?</t>
  </si>
  <si>
    <t xml:space="preserve">Contestable; lean relevant-but-marginal for precision; John rules.</t>
  </si>
  <si>
    <t xml:space="preserve">Disclosure: model tree names _cstack without repo access (training contamination from a famous bug).</t>
  </si>
  <si>
    <t xml:space="preserve">Disclose wherever the tree is presented; specificity and coverage may be inflated; TC/AC/EF unaffected (structural).</t>
  </si>
  <si>
    <t xml:space="preserve">Model P4 rationale contains a Unicode em dash (U+2014).</t>
  </si>
  <si>
    <t xml:space="preserve">Data stays verbatim in the JSON; escape or rewrite only at quoting time (LaTeX/notes).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</si>
</sst>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33" activeCellId="0" sqref="B33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52"/>
    <col collapsed="false" customWidth="true" hidden="false" outlineLevel="0" max="4" min="4" style="0" width="14.01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40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1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9</v>
      </c>
    </row>
    <row r="7" customFormat="false" ht="15" hidden="false" customHeight="false" outlineLevel="0" collapsed="false">
      <c r="A7" s="4" t="s">
        <v>13</v>
      </c>
      <c r="B7" s="4" t="s">
        <v>14</v>
      </c>
      <c r="C7" s="4" t="s">
        <v>15</v>
      </c>
      <c r="D7" s="4" t="s">
        <v>9</v>
      </c>
    </row>
    <row r="8" customFormat="false" ht="15" hidden="false" customHeight="false" outlineLevel="0" collapsed="false">
      <c r="A8" s="4" t="s">
        <v>16</v>
      </c>
      <c r="B8" s="4" t="s">
        <v>17</v>
      </c>
      <c r="C8" s="4" t="s">
        <v>18</v>
      </c>
      <c r="D8" s="4" t="s">
        <v>9</v>
      </c>
    </row>
    <row r="9" customFormat="false" ht="15" hidden="false" customHeight="false" outlineLevel="0" collapsed="false">
      <c r="A9" s="4" t="s">
        <v>19</v>
      </c>
      <c r="B9" s="4" t="s">
        <v>20</v>
      </c>
      <c r="C9" s="4" t="s">
        <v>21</v>
      </c>
      <c r="D9" s="4" t="s">
        <v>9</v>
      </c>
    </row>
    <row r="10" customFormat="false" ht="15" hidden="false" customHeight="false" outlineLevel="0" collapsed="false">
      <c r="A10" s="4" t="s">
        <v>22</v>
      </c>
      <c r="B10" s="4" t="s">
        <v>23</v>
      </c>
      <c r="C10" s="4" t="s">
        <v>24</v>
      </c>
      <c r="D10" s="4" t="s">
        <v>9</v>
      </c>
    </row>
    <row r="12" customFormat="false" ht="15" hidden="false" customHeight="false" outlineLevel="0" collapsed="false">
      <c r="A12" s="5"/>
      <c r="B12" s="5" t="s">
        <v>25</v>
      </c>
      <c r="C12" s="5" t="n">
        <f aca="false">COUNTA(A5:A10)</f>
        <v>6</v>
      </c>
      <c r="D12" s="5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6.01"/>
    <col collapsed="false" customWidth="true" hidden="false" outlineLevel="0" max="2" min="2" style="0" width="9"/>
    <col collapsed="false" customWidth="true" hidden="false" outlineLevel="0" max="3" min="3" style="0" width="10.99"/>
    <col collapsed="false" customWidth="true" hidden="false" outlineLevel="0" max="4" min="4" style="0" width="15"/>
    <col collapsed="false" customWidth="true" hidden="false" outlineLevel="0" max="5" min="5" style="0" width="10.99"/>
    <col collapsed="false" customWidth="true" hidden="false" outlineLevel="0" max="6" min="6" style="0" width="11.99"/>
    <col collapsed="false" customWidth="true" hidden="false" outlineLevel="0" max="7" min="7" style="0" width="40"/>
    <col collapsed="false" customWidth="true" hidden="false" outlineLevel="0" max="8" min="8" style="0" width="30.01"/>
    <col collapsed="false" customWidth="true" hidden="false" outlineLevel="0" max="9" min="9" style="0" width="10"/>
    <col collapsed="false" customWidth="true" hidden="false" outlineLevel="0" max="10" min="10" style="0" width="10.99"/>
    <col collapsed="false" customWidth="true" hidden="false" outlineLevel="0" max="11" min="11" style="0" width="54.99"/>
    <col collapsed="false" customWidth="true" hidden="false" outlineLevel="0" max="12" min="12" style="0" width="30.01"/>
    <col collapsed="false" customWidth="true" hidden="false" outlineLevel="0" max="13" min="13" style="0" width="13.01"/>
  </cols>
  <sheetData>
    <row r="1" customFormat="false" ht="15" hidden="false" customHeight="fals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40" hidden="false" customHeight="tru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5</v>
      </c>
    </row>
    <row r="5" customFormat="false" ht="15" hidden="false" customHeight="false" outlineLevel="0" collapsed="false">
      <c r="A5" s="4" t="s">
        <v>40</v>
      </c>
      <c r="B5" s="4"/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49</v>
      </c>
      <c r="L5" s="4" t="s">
        <v>50</v>
      </c>
      <c r="M5" s="4" t="s">
        <v>9</v>
      </c>
    </row>
    <row r="6" customFormat="false" ht="15" hidden="false" customHeight="false" outlineLevel="0" collapsed="false">
      <c r="A6" s="4" t="s">
        <v>51</v>
      </c>
      <c r="B6" s="4" t="s">
        <v>40</v>
      </c>
      <c r="C6" s="4" t="s">
        <v>52</v>
      </c>
      <c r="D6" s="4" t="s">
        <v>53</v>
      </c>
      <c r="E6" s="4" t="s">
        <v>54</v>
      </c>
      <c r="F6" s="4" t="s">
        <v>55</v>
      </c>
      <c r="G6" s="4" t="s">
        <v>56</v>
      </c>
      <c r="H6" s="4" t="s">
        <v>57</v>
      </c>
      <c r="I6" s="4" t="s">
        <v>47</v>
      </c>
      <c r="J6" s="4" t="s">
        <v>48</v>
      </c>
      <c r="K6" s="4" t="s">
        <v>58</v>
      </c>
      <c r="L6" s="4" t="s">
        <v>10</v>
      </c>
      <c r="M6" s="4" t="s">
        <v>9</v>
      </c>
    </row>
    <row r="7" customFormat="false" ht="15" hidden="false" customHeight="false" outlineLevel="0" collapsed="false">
      <c r="A7" s="4" t="s">
        <v>59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60</v>
      </c>
      <c r="G7" s="4" t="s">
        <v>61</v>
      </c>
      <c r="H7" s="4" t="s">
        <v>57</v>
      </c>
      <c r="I7" s="4" t="s">
        <v>47</v>
      </c>
      <c r="J7" s="4" t="s">
        <v>48</v>
      </c>
      <c r="K7" s="4" t="s">
        <v>62</v>
      </c>
      <c r="L7" s="4" t="s">
        <v>13</v>
      </c>
      <c r="M7" s="4" t="s">
        <v>9</v>
      </c>
    </row>
    <row r="8" customFormat="false" ht="15" hidden="false" customHeight="false" outlineLevel="0" collapsed="false">
      <c r="A8" s="4" t="s">
        <v>63</v>
      </c>
      <c r="B8" s="4" t="s">
        <v>59</v>
      </c>
      <c r="C8" s="4" t="s">
        <v>52</v>
      </c>
      <c r="D8" s="4" t="s">
        <v>53</v>
      </c>
      <c r="E8" s="4" t="s">
        <v>64</v>
      </c>
      <c r="F8" s="4" t="s">
        <v>65</v>
      </c>
      <c r="G8" s="4" t="s">
        <v>66</v>
      </c>
      <c r="H8" s="4" t="s">
        <v>57</v>
      </c>
      <c r="I8" s="4" t="s">
        <v>47</v>
      </c>
      <c r="J8" s="4" t="s">
        <v>48</v>
      </c>
      <c r="K8" s="4" t="s">
        <v>67</v>
      </c>
      <c r="L8" s="4" t="s">
        <v>68</v>
      </c>
      <c r="M8" s="4" t="s">
        <v>9</v>
      </c>
    </row>
    <row r="9" customFormat="false" ht="15" hidden="false" customHeight="false" outlineLevel="0" collapsed="false">
      <c r="A9" s="4" t="s">
        <v>69</v>
      </c>
      <c r="B9" s="4" t="s">
        <v>40</v>
      </c>
      <c r="C9" s="4" t="s">
        <v>70</v>
      </c>
      <c r="D9" s="4" t="s">
        <v>53</v>
      </c>
      <c r="E9" s="4" t="s">
        <v>71</v>
      </c>
      <c r="F9" s="4" t="s">
        <v>72</v>
      </c>
      <c r="G9" s="4" t="s">
        <v>73</v>
      </c>
      <c r="H9" s="4" t="s">
        <v>74</v>
      </c>
      <c r="I9" s="4" t="s">
        <v>47</v>
      </c>
      <c r="J9" s="4" t="s">
        <v>48</v>
      </c>
      <c r="K9" s="4" t="s">
        <v>75</v>
      </c>
      <c r="L9" s="4" t="s">
        <v>6</v>
      </c>
      <c r="M9" s="4" t="s">
        <v>9</v>
      </c>
    </row>
    <row r="10" customFormat="false" ht="15" hidden="false" customHeight="false" outlineLevel="0" collapsed="false">
      <c r="A10" s="4" t="s">
        <v>76</v>
      </c>
      <c r="B10" s="4" t="s">
        <v>63</v>
      </c>
      <c r="C10" s="4" t="s">
        <v>70</v>
      </c>
      <c r="D10" s="4" t="s">
        <v>53</v>
      </c>
      <c r="E10" s="4" t="s">
        <v>71</v>
      </c>
      <c r="F10" s="4" t="s">
        <v>77</v>
      </c>
      <c r="G10" s="4" t="s">
        <v>78</v>
      </c>
      <c r="H10" s="4" t="s">
        <v>57</v>
      </c>
      <c r="I10" s="4" t="s">
        <v>47</v>
      </c>
      <c r="J10" s="4" t="s">
        <v>48</v>
      </c>
      <c r="K10" s="4" t="s">
        <v>79</v>
      </c>
      <c r="L10" s="4" t="s">
        <v>16</v>
      </c>
      <c r="M10" s="4" t="s">
        <v>9</v>
      </c>
    </row>
    <row r="11" customFormat="false" ht="15" hidden="false" customHeight="false" outlineLevel="0" collapsed="false">
      <c r="A11" s="4" t="s">
        <v>80</v>
      </c>
      <c r="B11" s="4" t="s">
        <v>63</v>
      </c>
      <c r="C11" s="4" t="s">
        <v>70</v>
      </c>
      <c r="D11" s="4" t="s">
        <v>53</v>
      </c>
      <c r="E11" s="4" t="s">
        <v>71</v>
      </c>
      <c r="F11" s="4" t="s">
        <v>81</v>
      </c>
      <c r="G11" s="4" t="s">
        <v>82</v>
      </c>
      <c r="H11" s="4" t="s">
        <v>74</v>
      </c>
      <c r="I11" s="4" t="s">
        <v>47</v>
      </c>
      <c r="J11" s="4" t="s">
        <v>48</v>
      </c>
      <c r="K11" s="4" t="s">
        <v>83</v>
      </c>
      <c r="L11" s="4" t="s">
        <v>19</v>
      </c>
      <c r="M11" s="4" t="s">
        <v>9</v>
      </c>
    </row>
    <row r="12" customFormat="false" ht="15" hidden="false" customHeight="false" outlineLevel="0" collapsed="false">
      <c r="A12" s="4" t="s">
        <v>84</v>
      </c>
      <c r="B12" s="4" t="s">
        <v>63</v>
      </c>
      <c r="C12" s="4" t="s">
        <v>70</v>
      </c>
      <c r="D12" s="4" t="s">
        <v>53</v>
      </c>
      <c r="E12" s="4" t="s">
        <v>71</v>
      </c>
      <c r="F12" s="4" t="s">
        <v>72</v>
      </c>
      <c r="G12" s="4" t="s">
        <v>85</v>
      </c>
      <c r="H12" s="4" t="s">
        <v>86</v>
      </c>
      <c r="I12" s="4" t="s">
        <v>47</v>
      </c>
      <c r="J12" s="4" t="s">
        <v>48</v>
      </c>
      <c r="K12" s="4" t="s">
        <v>87</v>
      </c>
      <c r="L12" s="4" t="s">
        <v>22</v>
      </c>
      <c r="M12" s="4" t="s">
        <v>9</v>
      </c>
    </row>
    <row r="13" customFormat="false" ht="15" hidden="false" customHeight="false" outlineLevel="0" collapsed="false">
      <c r="A13" s="4" t="s">
        <v>88</v>
      </c>
      <c r="B13" s="4" t="s">
        <v>63</v>
      </c>
      <c r="C13" s="4" t="s">
        <v>52</v>
      </c>
      <c r="D13" s="4" t="s">
        <v>53</v>
      </c>
      <c r="E13" s="4" t="s">
        <v>64</v>
      </c>
      <c r="F13" s="4" t="s">
        <v>89</v>
      </c>
      <c r="G13" s="4" t="s">
        <v>90</v>
      </c>
      <c r="H13" s="4" t="s">
        <v>46</v>
      </c>
      <c r="I13" s="4" t="s">
        <v>47</v>
      </c>
      <c r="J13" s="4" t="s">
        <v>48</v>
      </c>
      <c r="K13" s="4" t="s">
        <v>91</v>
      </c>
      <c r="L13" s="4" t="s">
        <v>92</v>
      </c>
      <c r="M13" s="4" t="s">
        <v>9</v>
      </c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 t="s">
        <v>93</v>
      </c>
      <c r="M15" s="5" t="n">
        <f aca="false">COUNTA(A5:A13)</f>
        <v>9</v>
      </c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 t="s">
        <v>94</v>
      </c>
      <c r="M16" s="5" t="n">
        <f aca="false">COUNTIF(L5:L13,"GT-*")</f>
        <v>6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.99"/>
    <col collapsed="false" customWidth="true" hidden="false" outlineLevel="0" max="3" min="2" style="0" width="54.99"/>
    <col collapsed="false" customWidth="true" hidden="false" outlineLevel="0" max="4" min="4" style="0" width="30.01"/>
  </cols>
  <sheetData>
    <row r="1" customFormat="false" ht="15" hidden="false" customHeight="false" outlineLevel="0" collapsed="false">
      <c r="A1" s="1" t="s">
        <v>95</v>
      </c>
      <c r="B1" s="1"/>
      <c r="C1" s="1"/>
      <c r="D1" s="1"/>
    </row>
    <row r="2" customFormat="false" ht="40" hidden="false" customHeight="true" outlineLevel="0" collapsed="false">
      <c r="A2" s="2" t="s">
        <v>96</v>
      </c>
      <c r="B2" s="2"/>
      <c r="C2" s="2"/>
      <c r="D2" s="2"/>
    </row>
    <row r="4" customFormat="false" ht="15" hidden="false" customHeight="false" outlineLevel="0" collapsed="false">
      <c r="A4" s="3" t="s">
        <v>97</v>
      </c>
      <c r="B4" s="3" t="s">
        <v>98</v>
      </c>
      <c r="C4" s="3" t="s">
        <v>99</v>
      </c>
      <c r="D4" s="3" t="s">
        <v>100</v>
      </c>
    </row>
    <row r="5" customFormat="false" ht="15" hidden="false" customHeight="false" outlineLevel="0" collapsed="false">
      <c r="A5" s="4" t="n">
        <v>1</v>
      </c>
      <c r="B5" s="4" t="s">
        <v>101</v>
      </c>
      <c r="C5" s="4" t="s">
        <v>102</v>
      </c>
      <c r="D5" s="4"/>
    </row>
    <row r="6" customFormat="false" ht="15" hidden="false" customHeight="false" outlineLevel="0" collapsed="false">
      <c r="A6" s="4" t="n">
        <v>2</v>
      </c>
      <c r="B6" s="4" t="s">
        <v>103</v>
      </c>
      <c r="C6" s="4" t="s">
        <v>104</v>
      </c>
      <c r="D6" s="4"/>
    </row>
    <row r="7" customFormat="false" ht="15" hidden="false" customHeight="false" outlineLevel="0" collapsed="false">
      <c r="A7" s="4" t="n">
        <v>3</v>
      </c>
      <c r="B7" s="4" t="s">
        <v>105</v>
      </c>
      <c r="C7" s="4" t="s">
        <v>106</v>
      </c>
      <c r="D7" s="4"/>
    </row>
    <row r="8" customFormat="false" ht="15" hidden="false" customHeight="false" outlineLevel="0" collapsed="false">
      <c r="A8" s="4" t="n">
        <v>4</v>
      </c>
      <c r="B8" s="4" t="s">
        <v>107</v>
      </c>
      <c r="C8" s="4" t="s">
        <v>108</v>
      </c>
      <c r="D8" s="4"/>
    </row>
    <row r="9" customFormat="false" ht="15" hidden="false" customHeight="false" outlineLevel="0" collapsed="false">
      <c r="A9" s="4" t="n">
        <v>5</v>
      </c>
      <c r="B9" s="4" t="s">
        <v>109</v>
      </c>
      <c r="C9" s="4" t="s">
        <v>110</v>
      </c>
      <c r="D9" s="4"/>
    </row>
    <row r="10" customFormat="false" ht="15" hidden="false" customHeight="false" outlineLevel="0" collapsed="false">
      <c r="A10" s="4" t="n">
        <v>6</v>
      </c>
      <c r="B10" s="4" t="s">
        <v>111</v>
      </c>
      <c r="C10" s="4" t="s">
        <v>112</v>
      </c>
      <c r="D10" s="4"/>
    </row>
    <row r="11" customFormat="false" ht="15" hidden="false" customHeight="false" outlineLevel="0" collapsed="false">
      <c r="A11" s="4" t="n">
        <v>7</v>
      </c>
      <c r="B11" s="4" t="s">
        <v>113</v>
      </c>
      <c r="C11" s="4" t="s">
        <v>114</v>
      </c>
      <c r="D11" s="4"/>
    </row>
    <row r="12" customFormat="false" ht="15" hidden="false" customHeight="false" outlineLevel="0" collapsed="false">
      <c r="A12" s="4" t="n">
        <v>8</v>
      </c>
      <c r="B12" s="4" t="s">
        <v>115</v>
      </c>
      <c r="C12" s="4" t="s">
        <v>116</v>
      </c>
      <c r="D12" s="4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2026-07-30T01:01:06Z</dcterms:created>
  <dc:creator>openpyxl</dc:creator>
  <dc:description/>
  <dc:language>en-PH</dc:language>
  <cp:lastModifiedBy/>
  <dcterms:modified xsi:type="dcterms:W3CDTF">2026-07-29T23:06:45Z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