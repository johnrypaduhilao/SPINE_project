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on_Scorecard" sheetId="1" state="visible" r:id="rId3"/>
    <sheet name="Struct_Instrument_Ladd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<sst xmlns="http://schemas.openxmlformats.org/spreadsheetml/2006/main" count="146" uniqueCount="100">
  <si>
    <t xml:space="preserve">Execution scorecard, phase1v2 plus dispatch (Docker-confirmed Aug 16, 2026; evidence in ARCHIVE/docker_eval/astropy_12907)</t>
  </si>
  <si>
    <t xml:space="preserve">Sources: the ten canonical run artifacts (filenames in column B). Manual scoring is authoritative; this sheet is a reproducibility layer.</t>
  </si>
  <si>
    <t xml:space="preserve">cell</t>
  </si>
  <si>
    <t xml:space="preserve">artifact (outputs/)</t>
  </si>
  <si>
    <t xml:space="preserve">config</t>
  </si>
  <si>
    <t xml:space="preserve">executor</t>
  </si>
  <si>
    <t xml:space="preserve">run</t>
  </si>
  <si>
    <t xml:space="preserve">turns</t>
  </si>
  <si>
    <t xml:space="preserve">total tokens</t>
  </si>
  <si>
    <t xml:space="preserve">wall s</t>
  </si>
  <si>
    <t xml:space="preserve">gold fix in patch</t>
  </si>
  <si>
    <t xml:space="preserve">tests authored</t>
  </si>
  <si>
    <t xml:space="preserve">policy_id filled</t>
  </si>
  <si>
    <t xml:space="preserve">Docker result (source-only)</t>
  </si>
  <si>
    <t xml:space="preserve">C-noplan</t>
  </si>
  <si>
    <t xml:space="preserve">exec_noplan_..._executor-claude-sonnet-4-6_run1.json</t>
  </si>
  <si>
    <t xml:space="preserve">noplan</t>
  </si>
  <si>
    <t xml:space="preserve">claude-sonnet-4-6</t>
  </si>
  <si>
    <t xml:space="preserve">yes</t>
  </si>
  <si>
    <t xml:space="preserve">yes (unprompted)</t>
  </si>
  <si>
    <t xml:space="preserve">0/12</t>
  </si>
  <si>
    <t xml:space="preserve">resolved (confirmed)</t>
  </si>
  <si>
    <t xml:space="preserve">G-noplan</t>
  </si>
  <si>
    <t xml:space="preserve">exec_noplan_..._executor-gpt-5.6-terra_run1.json</t>
  </si>
  <si>
    <t xml:space="preserve">gpt-5.6-terra</t>
  </si>
  <si>
    <t xml:space="preserve">0/13</t>
  </si>
  <si>
    <t xml:space="preserve">C-unstr</t>
  </si>
  <si>
    <t xml:space="preserve">exec_unstructured_plan_..._claude-sonnet-4-6_run1.json</t>
  </si>
  <si>
    <t xml:space="preserve">unstructured</t>
  </si>
  <si>
    <t xml:space="preserve">NO (plan has zero test wording)</t>
  </si>
  <si>
    <t xml:space="preserve">0/6</t>
  </si>
  <si>
    <t xml:space="preserve">G-unstr</t>
  </si>
  <si>
    <t xml:space="preserve">exec_unstructured_plan_..._gpt-5.6-terra_run1.json</t>
  </si>
  <si>
    <t xml:space="preserve">yes (two, as the plan asked)</t>
  </si>
  <si>
    <t xml:space="preserve">0/14</t>
  </si>
  <si>
    <t xml:space="preserve">C-traj r2</t>
  </si>
  <si>
    <t xml:space="preserve">exec_trajectory_plan_..._claude-sonnet-4-6_run2.json</t>
  </si>
  <si>
    <t xml:space="preserve">trajectory</t>
  </si>
  <si>
    <t xml:space="preserve">G-traj r2</t>
  </si>
  <si>
    <t xml:space="preserve">exec_trajectory_plan_..._gpt-5.6-terra_run2.json</t>
  </si>
  <si>
    <t xml:space="preserve">C-struct</t>
  </si>
  <si>
    <t xml:space="preserve">exec_structured_plan_..._claude-sonnet-4-6_run1.json</t>
  </si>
  <si>
    <t xml:space="preserve">structured no-tag</t>
  </si>
  <si>
    <t xml:space="preserve">G-struct</t>
  </si>
  <si>
    <t xml:space="preserve">exec_structured_plan_..._gpt-5.6-terra_run1.json</t>
  </si>
  <si>
    <t xml:space="preserve">C-dispatch</t>
  </si>
  <si>
    <t xml:space="preserve">exec_dispatch_..._scope-imperatives_run1.json (claude)</t>
  </si>
  <si>
    <t xml:space="preserve">dispatch imperatives</t>
  </si>
  <si>
    <t xml:space="preserve">yes (cm8+cm9 in dict)</t>
  </si>
  <si>
    <t xml:space="preserve">16/16 system-stamped</t>
  </si>
  <si>
    <t xml:space="preserve">G-dispatch</t>
  </si>
  <si>
    <t xml:space="preserve">exec_dispatch_..._scope-imperatives_run1.json (gpt)</t>
  </si>
  <si>
    <t xml:space="preserve">15/16 system-stamped (done post-exhaustion null)</t>
  </si>
  <si>
    <t xml:space="preserve">totals</t>
  </si>
  <si>
    <t xml:space="preserve">Notes: trajectory run 1 pair is archived (pre truncation-marker fix); run 2 is canonical. 'Tests authored' counts test-file edits in model_patch. Token counts are vendor-reported and not comparable across vendors. Docker evidence: predictions built in source-only mode (test-file edits excluded uniformly across all ten cells; two cells' test edits collide with the held-out test patch region, and the resolved metric is defined by the held-out tests). All ten source patches are byte-identical, sha256 0172ca0d430e58fc42e46d478f879e667a9a6e262295d7b49aea68cbc53d5986, so one evaluation covers all ten cells. Gold health check resolved first (run_id gold_check), then the shared fix resolved (run_id spine_shared_fix): patch_successfully_applied true, FAIL_TO_PASS 2/2, PASS_TO_PASS 13/13, and the applied patch.diff in the logs hashes to the frozen value above. Full logs, predictions, manifest, and builder script are in the archive folder named in the title.</t>
  </si>
  <si>
    <t xml:space="preserve">Structured-config instrument ladder: the elicitation refinements while still on exec_harness (v1 to none)</t>
  </si>
  <si>
    <t xml:space="preserve">The ladder ran on the structured config only; other configs never carried a tail by construction. Attribution = records with a parsed policy_id over total records. Counts are the banked values; cells marked '-' were not re-derived for this sheet and must be read from the run artifacts.</t>
  </si>
  <si>
    <t xml:space="preserve">version</t>
  </si>
  <si>
    <t xml:space="preserve">instrument delta (what changed)</t>
  </si>
  <si>
    <t xml:space="preserve">C attribution</t>
  </si>
  <si>
    <t xml:space="preserve">G attribution</t>
  </si>
  <si>
    <t xml:space="preserve">key result</t>
  </si>
  <si>
    <t xml:space="preserve">notebook entries</t>
  </si>
  <si>
    <t xml:space="preserve">v1</t>
  </si>
  <si>
    <t xml:space="preserve">prefix ask: state the id by prefixing reasoning with [P&lt;id&gt;]</t>
  </si>
  <si>
    <t xml:space="preserve">9/14</t>
  </si>
  <si>
    <t xml:space="preserve">15/15</t>
  </si>
  <si>
    <t xml:space="preserve">C source edit under [P3.1] while the patch policy is P4: valid id, wrong label</t>
  </si>
  <si>
    <t xml:space="preserve">OB-07</t>
  </si>
  <si>
    <t xml:space="preserve">v2</t>
  </si>
  <si>
    <t xml:space="preserve">bind to the deepest policy, never parent_id; cite tool-impossible policies in the same form</t>
  </si>
  <si>
    <t xml:space="preserve">-</t>
  </si>
  <si>
    <t xml:space="preserve">16/16 (count corrected from 15/15)</t>
  </si>
  <si>
    <t xml:space="preserve">same edit mislabeled again ([P2.2]): the label follows the thought, not the tool call</t>
  </si>
  <si>
    <t xml:space="preserve">OB-12</t>
  </si>
  <si>
    <t xml:space="preserve">v3</t>
  </si>
  <si>
    <t xml:space="preserve">reconciliation clause: before done, account for every uncited policy as completed, subsumed, or impossible</t>
  </si>
  <si>
    <t xml:space="preserve">7/13 (behavior 9/13; two tags misplaced after markdown headings)</t>
  </si>
  <si>
    <t xml:space="preserve">13/13</t>
  </si>
  <si>
    <t xml:space="preserve">both models reconciled in full; P1 finally accounted; the asked-for accounting cost C per-turn tagging</t>
  </si>
  <si>
    <t xml:space="preserve">OB-13, OB-14</t>
  </si>
  <si>
    <t xml:space="preserve">v4</t>
  </si>
  <si>
    <t xml:space="preserve">container change: &lt;policy_id&gt; + &lt;policy_action&gt; tags anywhere in reasoning, action verb copied exactly</t>
  </si>
  <si>
    <t xml:space="preserve">9/13</t>
  </si>
  <si>
    <t xml:space="preserve">the models traded places; no universally better container; elicitation format is per-model</t>
  </si>
  <si>
    <t xml:space="preserve">OB-15</t>
  </si>
  <si>
    <t xml:space="preserve">v5</t>
  </si>
  <si>
    <t xml:space="preserve">v4 contract restructured as a list; pre-stated lock rule</t>
  </si>
  <si>
    <t xml:space="preserve">4/14 (28.6 pct, FAILED the 64.3 floor)</t>
  </si>
  <si>
    <t xml:space="preserve">presentation register alone moved recovery; v4 and v5 both went to the meeting per the rule</t>
  </si>
  <si>
    <t xml:space="preserve">v6</t>
  </si>
  <si>
    <t xml:space="preserve">purpose paragraph added to v5 (single variable, 285-byte delta), run at advisor direction outside the ladder</t>
  </si>
  <si>
    <t xml:space="preserve">edit tagged P2.2; P4 in no record (per-turn count in artifact)</t>
  </si>
  <si>
    <t xml:space="preserve">prediction held (purpose moved nothing); first GPT lag sample and first GPT reconciliation miss on a frozen prompt</t>
  </si>
  <si>
    <t xml:space="preserve">OB-16, OB-17, OB-18</t>
  </si>
  <si>
    <t xml:space="preserve">none</t>
  </si>
  <si>
    <t xml:space="preserve">the ask removed entirely; the plan alone (phase1v2 standing default)</t>
  </si>
  <si>
    <t xml:space="preserve">0/14 by design</t>
  </si>
  <si>
    <t xml:space="preserve">with ids in context and nothing asking, neither model cited a policy once in 28 turns; self-report cannot carry attribution; the system must stamp (dispatch)</t>
  </si>
  <si>
    <t xml:space="preserve">OB-24, OB-25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</si>
</sst>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8D5"/>
        <bgColor rgb="FFFAF0C6"/>
      </patternFill>
    </fill>
    <fill>
      <patternFill patternType="solid">
        <fgColor rgb="FFFAF0C6"/>
        <bgColor rgb="FFDDE8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C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D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K24" activeCellId="0" sqref="K24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0.99"/>
    <col collapsed="false" customWidth="true" hidden="false" outlineLevel="0" max="2" min="2" style="1" width="34"/>
    <col collapsed="false" customWidth="true" hidden="false" outlineLevel="0" max="3" min="3" style="1" width="10.99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5.01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8"/>
    <col collapsed="false" customWidth="true" hidden="false" outlineLevel="0" max="10" min="10" style="1" width="10"/>
    <col collapsed="false" customWidth="true" hidden="false" outlineLevel="0" max="11" min="11" style="1" width="19.99"/>
    <col collapsed="false" customWidth="true" hidden="false" outlineLevel="0" max="12" min="12" style="1" width="10.99"/>
    <col collapsed="false" customWidth="true" hidden="false" outlineLevel="0" max="13" min="13" style="1" width="18"/>
    <col collapsed="false" customWidth="true" hidden="false" outlineLevel="0" max="14" min="14" style="1" width="13.01"/>
    <col collapsed="false" customWidth="true" hidden="false" outlineLevel="0" max="15" min="15" style="1" width="30.01"/>
    <col collapsed="false" customWidth="true" hidden="false" outlineLevel="0" max="16" min="16" style="1" width="22.01"/>
  </cols>
  <sheetData>
    <row r="1" customFormat="false" ht="1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N4" s="4"/>
    </row>
    <row r="5" customFormat="false" ht="21.75" hidden="false" customHeight="true" outlineLevel="0" collapsed="false">
      <c r="A5" s="5" t="s">
        <v>14</v>
      </c>
      <c r="B5" s="5" t="s">
        <v>15</v>
      </c>
      <c r="C5" s="5" t="s">
        <v>16</v>
      </c>
      <c r="D5" s="5" t="s">
        <v>17</v>
      </c>
      <c r="E5" s="5" t="n">
        <v>1</v>
      </c>
      <c r="F5" s="5" t="n">
        <v>12</v>
      </c>
      <c r="G5" s="5" t="n">
        <v>69143</v>
      </c>
      <c r="H5" s="5" t="n">
        <v>47.51</v>
      </c>
      <c r="I5" s="5" t="s">
        <v>18</v>
      </c>
      <c r="J5" s="5" t="s">
        <v>19</v>
      </c>
      <c r="K5" s="5" t="s">
        <v>20</v>
      </c>
      <c r="L5" s="5" t="s">
        <v>21</v>
      </c>
      <c r="N5" s="5"/>
    </row>
    <row r="6" customFormat="false" ht="21.75" hidden="false" customHeight="true" outlineLevel="0" collapsed="false">
      <c r="A6" s="5" t="s">
        <v>22</v>
      </c>
      <c r="B6" s="5" t="s">
        <v>23</v>
      </c>
      <c r="C6" s="5" t="s">
        <v>16</v>
      </c>
      <c r="D6" s="5" t="s">
        <v>24</v>
      </c>
      <c r="E6" s="5" t="n">
        <v>1</v>
      </c>
      <c r="F6" s="5" t="n">
        <v>13</v>
      </c>
      <c r="G6" s="5" t="n">
        <v>73342</v>
      </c>
      <c r="H6" s="5" t="n">
        <v>22.9</v>
      </c>
      <c r="I6" s="5" t="s">
        <v>18</v>
      </c>
      <c r="J6" s="5" t="s">
        <v>19</v>
      </c>
      <c r="K6" s="5" t="s">
        <v>25</v>
      </c>
      <c r="L6" s="5" t="s">
        <v>21</v>
      </c>
      <c r="N6" s="5"/>
    </row>
    <row r="7" customFormat="false" ht="21.75" hidden="false" customHeight="true" outlineLevel="0" collapsed="false">
      <c r="A7" s="5" t="s">
        <v>26</v>
      </c>
      <c r="B7" s="5" t="s">
        <v>27</v>
      </c>
      <c r="C7" s="5" t="s">
        <v>28</v>
      </c>
      <c r="D7" s="5" t="s">
        <v>17</v>
      </c>
      <c r="E7" s="5" t="n">
        <v>1</v>
      </c>
      <c r="F7" s="5" t="n">
        <v>6</v>
      </c>
      <c r="G7" s="5" t="n">
        <v>27979</v>
      </c>
      <c r="H7" s="5" t="n">
        <v>18.2</v>
      </c>
      <c r="I7" s="5" t="s">
        <v>18</v>
      </c>
      <c r="J7" s="5" t="s">
        <v>29</v>
      </c>
      <c r="K7" s="5" t="s">
        <v>30</v>
      </c>
      <c r="L7" s="5" t="s">
        <v>21</v>
      </c>
      <c r="N7" s="5"/>
    </row>
    <row r="8" customFormat="false" ht="21.75" hidden="false" customHeight="true" outlineLevel="0" collapsed="false">
      <c r="A8" s="5" t="s">
        <v>31</v>
      </c>
      <c r="B8" s="5" t="s">
        <v>32</v>
      </c>
      <c r="C8" s="5" t="s">
        <v>28</v>
      </c>
      <c r="D8" s="5" t="s">
        <v>24</v>
      </c>
      <c r="E8" s="5" t="n">
        <v>1</v>
      </c>
      <c r="F8" s="5" t="n">
        <v>14</v>
      </c>
      <c r="G8" s="5" t="n">
        <v>88071</v>
      </c>
      <c r="H8" s="5" t="n">
        <v>26.94</v>
      </c>
      <c r="I8" s="5" t="s">
        <v>18</v>
      </c>
      <c r="J8" s="5" t="s">
        <v>33</v>
      </c>
      <c r="K8" s="5" t="s">
        <v>34</v>
      </c>
      <c r="L8" s="5" t="s">
        <v>21</v>
      </c>
      <c r="N8" s="5"/>
    </row>
    <row r="9" customFormat="false" ht="21.75" hidden="false" customHeight="true" outlineLevel="0" collapsed="false">
      <c r="A9" s="5" t="s">
        <v>35</v>
      </c>
      <c r="B9" s="5" t="s">
        <v>36</v>
      </c>
      <c r="C9" s="5" t="s">
        <v>37</v>
      </c>
      <c r="D9" s="5" t="s">
        <v>17</v>
      </c>
      <c r="E9" s="5" t="n">
        <v>2</v>
      </c>
      <c r="F9" s="5" t="n">
        <v>13</v>
      </c>
      <c r="G9" s="5" t="n">
        <v>178225</v>
      </c>
      <c r="H9" s="5" t="n">
        <v>43.22</v>
      </c>
      <c r="I9" s="5" t="s">
        <v>18</v>
      </c>
      <c r="J9" s="5" t="s">
        <v>18</v>
      </c>
      <c r="K9" s="5" t="s">
        <v>25</v>
      </c>
      <c r="L9" s="5" t="s">
        <v>21</v>
      </c>
      <c r="N9" s="5"/>
    </row>
    <row r="10" customFormat="false" ht="21.75" hidden="false" customHeight="true" outlineLevel="0" collapsed="false">
      <c r="A10" s="5" t="s">
        <v>38</v>
      </c>
      <c r="B10" s="5" t="s">
        <v>39</v>
      </c>
      <c r="C10" s="5" t="s">
        <v>37</v>
      </c>
      <c r="D10" s="5" t="s">
        <v>24</v>
      </c>
      <c r="E10" s="5" t="n">
        <v>2</v>
      </c>
      <c r="F10" s="5" t="n">
        <v>12</v>
      </c>
      <c r="G10" s="5" t="n">
        <v>77769</v>
      </c>
      <c r="H10" s="5" t="n">
        <v>23.18</v>
      </c>
      <c r="I10" s="5" t="s">
        <v>18</v>
      </c>
      <c r="J10" s="5" t="s">
        <v>18</v>
      </c>
      <c r="K10" s="5" t="s">
        <v>20</v>
      </c>
      <c r="L10" s="5" t="s">
        <v>21</v>
      </c>
      <c r="N10" s="5"/>
    </row>
    <row r="11" customFormat="false" ht="21.75" hidden="false" customHeight="true" outlineLevel="0" collapsed="false">
      <c r="A11" s="5" t="s">
        <v>40</v>
      </c>
      <c r="B11" s="5" t="s">
        <v>41</v>
      </c>
      <c r="C11" s="5" t="s">
        <v>42</v>
      </c>
      <c r="D11" s="5" t="s">
        <v>17</v>
      </c>
      <c r="E11" s="5" t="n">
        <v>1</v>
      </c>
      <c r="F11" s="5" t="n">
        <v>14</v>
      </c>
      <c r="G11" s="5" t="n">
        <v>122833</v>
      </c>
      <c r="H11" s="5" t="n">
        <v>57.11</v>
      </c>
      <c r="I11" s="5" t="s">
        <v>18</v>
      </c>
      <c r="J11" s="5" t="s">
        <v>18</v>
      </c>
      <c r="K11" s="5" t="s">
        <v>34</v>
      </c>
      <c r="L11" s="5" t="s">
        <v>21</v>
      </c>
      <c r="N11" s="5"/>
    </row>
    <row r="12" customFormat="false" ht="21.75" hidden="false" customHeight="true" outlineLevel="0" collapsed="false">
      <c r="A12" s="5" t="s">
        <v>43</v>
      </c>
      <c r="B12" s="5" t="s">
        <v>44</v>
      </c>
      <c r="C12" s="5" t="s">
        <v>42</v>
      </c>
      <c r="D12" s="5" t="s">
        <v>24</v>
      </c>
      <c r="E12" s="5" t="n">
        <v>1</v>
      </c>
      <c r="F12" s="5" t="n">
        <v>14</v>
      </c>
      <c r="G12" s="5" t="n">
        <v>96259</v>
      </c>
      <c r="H12" s="5" t="n">
        <v>27.39</v>
      </c>
      <c r="I12" s="5" t="s">
        <v>18</v>
      </c>
      <c r="J12" s="5" t="s">
        <v>18</v>
      </c>
      <c r="K12" s="5" t="s">
        <v>34</v>
      </c>
      <c r="L12" s="5" t="s">
        <v>21</v>
      </c>
      <c r="N12" s="5"/>
    </row>
    <row r="13" customFormat="false" ht="21.75" hidden="false" customHeight="true" outlineLevel="0" collapsed="false">
      <c r="A13" s="5" t="s">
        <v>45</v>
      </c>
      <c r="B13" s="5" t="s">
        <v>46</v>
      </c>
      <c r="C13" s="5" t="s">
        <v>47</v>
      </c>
      <c r="D13" s="5" t="s">
        <v>17</v>
      </c>
      <c r="E13" s="5" t="n">
        <v>1</v>
      </c>
      <c r="F13" s="5" t="n">
        <v>16</v>
      </c>
      <c r="G13" s="5" t="n">
        <v>119273</v>
      </c>
      <c r="H13" s="5" t="n">
        <v>74.51</v>
      </c>
      <c r="I13" s="5" t="s">
        <v>18</v>
      </c>
      <c r="J13" s="5" t="s">
        <v>48</v>
      </c>
      <c r="K13" s="5" t="s">
        <v>49</v>
      </c>
      <c r="L13" s="5" t="s">
        <v>21</v>
      </c>
      <c r="N13" s="5"/>
    </row>
    <row r="14" customFormat="false" ht="32.25" hidden="false" customHeight="true" outlineLevel="0" collapsed="false">
      <c r="A14" s="5" t="s">
        <v>50</v>
      </c>
      <c r="B14" s="5" t="s">
        <v>51</v>
      </c>
      <c r="C14" s="5" t="s">
        <v>47</v>
      </c>
      <c r="D14" s="5" t="s">
        <v>24</v>
      </c>
      <c r="E14" s="5" t="n">
        <v>1</v>
      </c>
      <c r="F14" s="5" t="n">
        <v>16</v>
      </c>
      <c r="G14" s="5" t="n">
        <v>96476</v>
      </c>
      <c r="H14" s="5" t="n">
        <v>33.89</v>
      </c>
      <c r="I14" s="5" t="s">
        <v>18</v>
      </c>
      <c r="J14" s="5" t="s">
        <v>18</v>
      </c>
      <c r="K14" s="5" t="s">
        <v>52</v>
      </c>
      <c r="L14" s="5" t="s">
        <v>21</v>
      </c>
      <c r="N14" s="5"/>
    </row>
    <row r="15" customFormat="false" ht="15" hidden="false" customHeight="true" outlineLevel="0" collapsed="false">
      <c r="A15" s="6" t="s">
        <v>53</v>
      </c>
      <c r="F15" s="6" t="n">
        <f aca="false">SUM(F5:F14)</f>
        <v>130</v>
      </c>
      <c r="G15" s="6" t="n">
        <f aca="false">SUM(G5:G14)</f>
        <v>949370</v>
      </c>
      <c r="H15" s="6" t="n">
        <f aca="false">SUM(H5:H14)</f>
        <v>374.85</v>
      </c>
    </row>
    <row r="17" customFormat="false" ht="39.75" hidden="false" customHeight="true" outlineLevel="0" collapsed="false">
      <c r="A17" s="7" t="s">
        <v>54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2">
    <mergeCell ref="A2:P2"/>
    <mergeCell ref="A17:P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5.99"/>
    <col collapsed="false" customWidth="true" hidden="false" outlineLevel="0" max="3" min="3" style="1" width="24"/>
    <col collapsed="false" customWidth="true" hidden="false" outlineLevel="0" max="4" min="4" style="1" width="22.01"/>
    <col collapsed="false" customWidth="true" hidden="false" outlineLevel="0" max="5" min="5" style="1" width="52"/>
    <col collapsed="false" customWidth="true" hidden="false" outlineLevel="0" max="6" min="6" style="1" width="16"/>
  </cols>
  <sheetData>
    <row r="1" customFormat="false" ht="15" hidden="false" customHeight="true" outlineLevel="0" collapsed="false">
      <c r="A1" s="2" t="s">
        <v>55</v>
      </c>
    </row>
    <row r="2" customFormat="false" ht="30" hidden="false" customHeight="true" outlineLevel="0" collapsed="false">
      <c r="A2" s="3" t="s">
        <v>56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57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</row>
    <row r="5" customFormat="false" ht="21.75" hidden="false" customHeight="true" outlineLevel="0" collapsed="false">
      <c r="A5" s="5" t="s">
        <v>63</v>
      </c>
      <c r="B5" s="5" t="s">
        <v>64</v>
      </c>
      <c r="C5" s="5" t="s">
        <v>65</v>
      </c>
      <c r="D5" s="5" t="s">
        <v>66</v>
      </c>
      <c r="E5" s="5" t="s">
        <v>67</v>
      </c>
      <c r="F5" s="5" t="s">
        <v>68</v>
      </c>
    </row>
    <row r="6" customFormat="false" ht="21.75" hidden="false" customHeight="true" outlineLevel="0" collapsed="false">
      <c r="A6" s="5" t="s">
        <v>69</v>
      </c>
      <c r="B6" s="5" t="s">
        <v>70</v>
      </c>
      <c r="C6" s="5" t="s">
        <v>71</v>
      </c>
      <c r="D6" s="5" t="s">
        <v>72</v>
      </c>
      <c r="E6" s="5" t="s">
        <v>73</v>
      </c>
      <c r="F6" s="5" t="s">
        <v>74</v>
      </c>
    </row>
    <row r="7" customFormat="false" ht="32.25" hidden="false" customHeight="true" outlineLevel="0" collapsed="false">
      <c r="A7" s="5" t="s">
        <v>75</v>
      </c>
      <c r="B7" s="5" t="s">
        <v>76</v>
      </c>
      <c r="C7" s="5" t="s">
        <v>77</v>
      </c>
      <c r="D7" s="5" t="s">
        <v>78</v>
      </c>
      <c r="E7" s="5" t="s">
        <v>79</v>
      </c>
      <c r="F7" s="5" t="s">
        <v>80</v>
      </c>
    </row>
    <row r="8" customFormat="false" ht="21.75" hidden="false" customHeight="true" outlineLevel="0" collapsed="false">
      <c r="A8" s="5" t="s">
        <v>81</v>
      </c>
      <c r="B8" s="5" t="s">
        <v>82</v>
      </c>
      <c r="C8" s="5" t="s">
        <v>83</v>
      </c>
      <c r="D8" s="5" t="s">
        <v>65</v>
      </c>
      <c r="E8" s="5" t="s">
        <v>84</v>
      </c>
      <c r="F8" s="5" t="s">
        <v>85</v>
      </c>
    </row>
    <row r="9" customFormat="false" ht="21.75" hidden="false" customHeight="true" outlineLevel="0" collapsed="false">
      <c r="A9" s="5" t="s">
        <v>86</v>
      </c>
      <c r="B9" s="5" t="s">
        <v>87</v>
      </c>
      <c r="C9" s="5" t="s">
        <v>88</v>
      </c>
      <c r="D9" s="5" t="s">
        <v>66</v>
      </c>
      <c r="E9" s="5" t="s">
        <v>89</v>
      </c>
      <c r="F9" s="5" t="s">
        <v>71</v>
      </c>
    </row>
    <row r="10" customFormat="false" ht="32.25" hidden="false" customHeight="true" outlineLevel="0" collapsed="false">
      <c r="A10" s="5" t="s">
        <v>90</v>
      </c>
      <c r="B10" s="5" t="s">
        <v>91</v>
      </c>
      <c r="C10" s="5" t="s">
        <v>92</v>
      </c>
      <c r="D10" s="5" t="s">
        <v>78</v>
      </c>
      <c r="E10" s="5" t="s">
        <v>93</v>
      </c>
      <c r="F10" s="5" t="s">
        <v>94</v>
      </c>
    </row>
    <row r="11" customFormat="false" ht="32.25" hidden="false" customHeight="true" outlineLevel="0" collapsed="false">
      <c r="A11" s="5" t="s">
        <v>95</v>
      </c>
      <c r="B11" s="5" t="s">
        <v>96</v>
      </c>
      <c r="C11" s="5" t="s">
        <v>97</v>
      </c>
      <c r="D11" s="5" t="s">
        <v>97</v>
      </c>
      <c r="E11" s="5" t="s">
        <v>98</v>
      </c>
      <c r="F11" s="5" t="s">
        <v>99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2026-08-11T04:01:32Z</dcterms:created>
  <dc:creator>openpyxl</dc:creator>
  <dc:description/>
  <dc:language>en-US</dc:language>
  <cp:lastModifiedBy/>
  <dcterms:modified xsi:type="dcterms:W3CDTF">2026-08-17T04:23:36Z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